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124D6C3-EC0C-4DA4-9AD5-AC316AA4B259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Summary" sheetId="1" r:id="rId1"/>
    <sheet name="Load_Metrics" sheetId="2" r:id="rId2"/>
    <sheet name="Buses_118" sheetId="3" r:id="rId3"/>
    <sheet name="Branches_Modified" sheetId="4" r:id="rId4"/>
    <sheet name="Generators_54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6" i="5" l="1"/>
  <c r="K56" i="5"/>
  <c r="B22" i="1"/>
  <c r="B21" i="1"/>
  <c r="B20" i="1"/>
</calcChain>
</file>

<file path=xl/sharedStrings.xml><?xml version="1.0" encoding="utf-8"?>
<sst xmlns="http://schemas.openxmlformats.org/spreadsheetml/2006/main" count="115" uniqueCount="66">
  <si>
    <t>Modified IEEE-118 nodal-frequency reconstruction</t>
  </si>
  <si>
    <t>Key inputs</t>
  </si>
  <si>
    <t>Base MVA</t>
  </si>
  <si>
    <t>Base frequency (Hz)</t>
  </si>
  <si>
    <t>Line x scale</t>
  </si>
  <si>
    <t>Disturbance bus</t>
  </si>
  <si>
    <t>Disturbance (MW)</t>
  </si>
  <si>
    <t>Key outputs</t>
  </si>
  <si>
    <t>COI nadir (Hz)</t>
  </si>
  <si>
    <t>COI final @20s (Hz)</t>
  </si>
  <si>
    <t>Bus 48 RoCoF (Hz/s)</t>
  </si>
  <si>
    <t>Bus 49 RoCoF (Hz/s)</t>
  </si>
  <si>
    <t>Bus 08 nadir (Hz)</t>
  </si>
  <si>
    <t>Bus 09 nadir (Hz)</t>
  </si>
  <si>
    <t>Checks</t>
  </si>
  <si>
    <t>Max |RoCoF|</t>
  </si>
  <si>
    <t>Worst nadir</t>
  </si>
  <si>
    <t>Top RoCoF bus</t>
  </si>
  <si>
    <t>bus</t>
  </si>
  <si>
    <t>nadir_hz</t>
  </si>
  <si>
    <t>abs_nadir_hz</t>
  </si>
  <si>
    <t>rocof0_hz_per_s</t>
  </si>
  <si>
    <t>abs_rocof0_hz_per_s</t>
  </si>
  <si>
    <t>indicator</t>
  </si>
  <si>
    <t>nadir_rank</t>
  </si>
  <si>
    <t>rocof_rank</t>
  </si>
  <si>
    <t>indicator_rank</t>
  </si>
  <si>
    <t>BUS_I</t>
  </si>
  <si>
    <t>BUS_TYPE</t>
  </si>
  <si>
    <t>PD</t>
  </si>
  <si>
    <t>QD</t>
  </si>
  <si>
    <t>GS</t>
  </si>
  <si>
    <t>BS</t>
  </si>
  <si>
    <t>BUS_AREA</t>
  </si>
  <si>
    <t>VM</t>
  </si>
  <si>
    <t>VA</t>
  </si>
  <si>
    <t>BASE_KV</t>
  </si>
  <si>
    <t>ZONE</t>
  </si>
  <si>
    <t>VMAX</t>
  </si>
  <si>
    <t>VMIN</t>
  </si>
  <si>
    <t>branch_index</t>
  </si>
  <si>
    <t>from_bus</t>
  </si>
  <si>
    <t>to_bus</t>
  </si>
  <si>
    <t>x_original</t>
  </si>
  <si>
    <t>x_modified</t>
  </si>
  <si>
    <t>north_corridor_edge</t>
  </si>
  <si>
    <t>gen_index</t>
  </si>
  <si>
    <t>host_bus</t>
  </si>
  <si>
    <t>type</t>
  </si>
  <si>
    <t>capacity_mw</t>
  </si>
  <si>
    <t>capacity_pu</t>
  </si>
  <si>
    <t>inertia_s</t>
  </si>
  <si>
    <t>xdp</t>
  </si>
  <si>
    <t>deadband_hz</t>
  </si>
  <si>
    <t>delay_s</t>
  </si>
  <si>
    <t>transformer_x_used</t>
  </si>
  <si>
    <t>M_used</t>
  </si>
  <si>
    <t>D_used</t>
  </si>
  <si>
    <t>K_used</t>
  </si>
  <si>
    <t>Tau_used_s</t>
  </si>
  <si>
    <t>Gamma_used</t>
  </si>
  <si>
    <t>TC6</t>
  </si>
  <si>
    <t>TB6</t>
  </si>
  <si>
    <t>TB10</t>
  </si>
  <si>
    <t>TG3</t>
  </si>
  <si>
    <t>TC10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</si>
</sst>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4"/>
      <color rgb="FFFFFFFF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1" xfId="0" applyFill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sqref="A1:D1"/>
    </sheetView>
  </sheetViews>
  <sheetFormatPr defaultRowHeight="13.5" x14ac:dyDescent="0.15"/>
  <cols>
    <col min="1" max="1" width="26" customWidth="1"/>
    <col min="2" max="4" width="18" customWidth="1"/>
  </cols>
  <sheetData>
    <row r="1" spans="1:4" ht="18.75" x14ac:dyDescent="0.15">
      <c r="A1" s="6" t="s">
        <v>0</v>
      </c>
      <c r="B1" s="7"/>
      <c r="C1" s="8"/>
      <c r="D1" s="8"/>
    </row>
    <row r="2" spans="1:4" x14ac:dyDescent="0.15">
      <c r="A2" s="2"/>
      <c r="B2" s="2"/>
    </row>
    <row r="3" spans="1:4" x14ac:dyDescent="0.15">
      <c r="A3" s="3" t="s">
        <v>1</v>
      </c>
      <c r="B3" s="1"/>
    </row>
    <row r="4" spans="1:4" x14ac:dyDescent="0.15">
      <c r="A4" s="2" t="s">
        <v>2</v>
      </c>
      <c r="B4" s="4">
        <v>100</v>
      </c>
    </row>
    <row r="5" spans="1:4" x14ac:dyDescent="0.15">
      <c r="A5" s="2" t="s">
        <v>3</v>
      </c>
      <c r="B5" s="4">
        <v>50</v>
      </c>
    </row>
    <row r="6" spans="1:4" x14ac:dyDescent="0.15">
      <c r="A6" s="2" t="s">
        <v>4</v>
      </c>
      <c r="B6" s="4">
        <v>0.4</v>
      </c>
    </row>
    <row r="7" spans="1:4" x14ac:dyDescent="0.15">
      <c r="A7" s="2" t="s">
        <v>5</v>
      </c>
      <c r="B7" s="4">
        <v>50</v>
      </c>
    </row>
    <row r="8" spans="1:4" x14ac:dyDescent="0.15">
      <c r="A8" s="2" t="s">
        <v>6</v>
      </c>
      <c r="B8" s="4">
        <v>1200</v>
      </c>
    </row>
    <row r="9" spans="1:4" x14ac:dyDescent="0.15">
      <c r="A9" s="2"/>
      <c r="B9" s="2"/>
    </row>
    <row r="10" spans="1:4" x14ac:dyDescent="0.15">
      <c r="A10" s="3" t="s">
        <v>7</v>
      </c>
      <c r="B10" s="1"/>
    </row>
    <row r="11" spans="1:4" x14ac:dyDescent="0.15">
      <c r="A11" s="2" t="s">
        <v>8</v>
      </c>
      <c r="B11" s="2">
        <v>-9.5850193455450899E-2</v>
      </c>
    </row>
    <row r="12" spans="1:4" x14ac:dyDescent="0.15">
      <c r="A12" s="2" t="s">
        <v>9</v>
      </c>
      <c r="B12" s="2">
        <v>-8.8500430098451197E-2</v>
      </c>
    </row>
    <row r="13" spans="1:4" x14ac:dyDescent="0.15">
      <c r="A13" s="2" t="s">
        <v>10</v>
      </c>
      <c r="B13" s="2">
        <v>-1.6933359420744161</v>
      </c>
    </row>
    <row r="14" spans="1:4" x14ac:dyDescent="0.15">
      <c r="A14" s="2" t="s">
        <v>11</v>
      </c>
      <c r="B14" s="2">
        <v>-1.8267897787138441</v>
      </c>
    </row>
    <row r="15" spans="1:4" x14ac:dyDescent="0.15">
      <c r="A15" s="2" t="s">
        <v>12</v>
      </c>
      <c r="B15" s="2">
        <v>-0.1169901056631541</v>
      </c>
    </row>
    <row r="16" spans="1:4" x14ac:dyDescent="0.15">
      <c r="A16" s="2" t="s">
        <v>13</v>
      </c>
      <c r="B16" s="2">
        <v>-0.1212924494768082</v>
      </c>
    </row>
    <row r="17" spans="1:2" x14ac:dyDescent="0.15">
      <c r="A17" s="2"/>
      <c r="B17" s="2"/>
    </row>
    <row r="18" spans="1:2" x14ac:dyDescent="0.15">
      <c r="A18" s="2"/>
      <c r="B18" s="2"/>
    </row>
    <row r="19" spans="1:2" x14ac:dyDescent="0.15">
      <c r="A19" s="3" t="s">
        <v>14</v>
      </c>
      <c r="B19" s="1"/>
    </row>
    <row r="20" spans="1:2" x14ac:dyDescent="0.15">
      <c r="A20" s="2" t="s">
        <v>15</v>
      </c>
      <c r="B20" s="2">
        <f>MAX(Load_Metrics!E2:E119)</f>
        <v>1.8267897787138441</v>
      </c>
    </row>
    <row r="21" spans="1:2" x14ac:dyDescent="0.15">
      <c r="A21" s="2" t="s">
        <v>16</v>
      </c>
      <c r="B21" s="2">
        <f>MIN(Load_Metrics!B2:B119)</f>
        <v>-0.17778606521464521</v>
      </c>
    </row>
    <row r="22" spans="1:2" x14ac:dyDescent="0.15">
      <c r="A22" s="2" t="s">
        <v>17</v>
      </c>
      <c r="B22" s="2">
        <f>INDEX(Load_Metrics!A2:A119,MATCH(MAX(Load_Metrics!E2:E119),Load_Metrics!E2:E119,0))</f>
        <v>49</v>
      </c>
    </row>
  </sheetData>
  <mergeCells count="1">
    <mergeCell ref="A1:D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9"/>
  <sheetViews>
    <sheetView workbookViewId="0">
      <pane ySplit="1" topLeftCell="A89" activePane="bottomLeft" state="frozen"/>
      <selection pane="bottomLeft" activeCell="E120" sqref="E120"/>
    </sheetView>
  </sheetViews>
  <sheetFormatPr defaultRowHeight="13.5" x14ac:dyDescent="0.15"/>
  <cols>
    <col min="1" max="1" width="12" customWidth="1"/>
    <col min="2" max="2" width="22" customWidth="1"/>
    <col min="3" max="3" width="21" customWidth="1"/>
    <col min="4" max="4" width="23" customWidth="1"/>
    <col min="5" max="5" width="22" customWidth="1"/>
    <col min="6" max="6" width="23" customWidth="1"/>
    <col min="7" max="8" width="12" customWidth="1"/>
    <col min="9" max="9" width="16" customWidth="1"/>
  </cols>
  <sheetData>
    <row r="1" spans="1:9" x14ac:dyDescent="0.1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</row>
    <row r="2" spans="1:9" x14ac:dyDescent="0.15">
      <c r="A2">
        <v>1</v>
      </c>
      <c r="B2">
        <v>-0.1163350222496051</v>
      </c>
      <c r="C2">
        <v>0.1163350222496051</v>
      </c>
      <c r="D2">
        <v>-1.3747350489782061E-2</v>
      </c>
      <c r="E2">
        <v>1.3747350489782061E-2</v>
      </c>
      <c r="F2">
        <v>2.0299111241718422E-3</v>
      </c>
      <c r="G2">
        <v>30</v>
      </c>
      <c r="H2">
        <v>114</v>
      </c>
      <c r="I2">
        <v>44</v>
      </c>
    </row>
    <row r="3" spans="1:9" x14ac:dyDescent="0.15">
      <c r="A3">
        <v>2</v>
      </c>
      <c r="B3">
        <v>-0.1151597251415903</v>
      </c>
      <c r="C3">
        <v>0.1151597251415903</v>
      </c>
      <c r="D3">
        <v>-1.793816664877582E-2</v>
      </c>
      <c r="E3">
        <v>1.793816664877582E-2</v>
      </c>
      <c r="F3">
        <v>1.9693104870660452E-3</v>
      </c>
      <c r="G3">
        <v>36</v>
      </c>
      <c r="H3">
        <v>104</v>
      </c>
      <c r="I3">
        <v>50</v>
      </c>
    </row>
    <row r="4" spans="1:9" x14ac:dyDescent="0.15">
      <c r="A4">
        <v>3</v>
      </c>
      <c r="B4">
        <v>-0.1159844990610316</v>
      </c>
      <c r="C4">
        <v>0.1159844990610316</v>
      </c>
      <c r="D4">
        <v>-1.6591104310653599E-2</v>
      </c>
      <c r="E4">
        <v>1.6591104310653599E-2</v>
      </c>
      <c r="F4">
        <v>1.9963536219741911E-3</v>
      </c>
      <c r="G4">
        <v>33</v>
      </c>
      <c r="H4">
        <v>111</v>
      </c>
      <c r="I4">
        <v>48</v>
      </c>
    </row>
    <row r="5" spans="1:9" x14ac:dyDescent="0.15">
      <c r="A5">
        <v>4</v>
      </c>
      <c r="B5">
        <v>-0.1162111689105489</v>
      </c>
      <c r="C5">
        <v>0.1162111689105489</v>
      </c>
      <c r="D5">
        <v>-2.0083854605115099E-2</v>
      </c>
      <c r="E5">
        <v>2.0083854605115099E-2</v>
      </c>
      <c r="F5">
        <v>1.963508748840269E-3</v>
      </c>
      <c r="G5">
        <v>31</v>
      </c>
      <c r="H5">
        <v>97</v>
      </c>
      <c r="I5">
        <v>54</v>
      </c>
    </row>
    <row r="6" spans="1:9" x14ac:dyDescent="0.15">
      <c r="A6">
        <v>5</v>
      </c>
      <c r="B6">
        <v>-0.11614249539896269</v>
      </c>
      <c r="C6">
        <v>0.11614249539896269</v>
      </c>
      <c r="D6">
        <v>-2.118107547121896E-2</v>
      </c>
      <c r="E6">
        <v>2.118107547121896E-2</v>
      </c>
      <c r="F6">
        <v>1.956192532555575E-3</v>
      </c>
      <c r="G6">
        <v>32</v>
      </c>
      <c r="H6">
        <v>93</v>
      </c>
      <c r="I6">
        <v>55</v>
      </c>
    </row>
    <row r="7" spans="1:9" x14ac:dyDescent="0.15">
      <c r="A7">
        <v>6</v>
      </c>
      <c r="B7">
        <v>-0.11555396015074421</v>
      </c>
      <c r="C7">
        <v>0.11555396015074421</v>
      </c>
      <c r="D7">
        <v>-1.7579684876233331E-2</v>
      </c>
      <c r="E7">
        <v>1.7579684876233331E-2</v>
      </c>
      <c r="F7">
        <v>1.963673122480432E-3</v>
      </c>
      <c r="G7">
        <v>34</v>
      </c>
      <c r="H7">
        <v>108</v>
      </c>
      <c r="I7">
        <v>53</v>
      </c>
    </row>
    <row r="8" spans="1:9" x14ac:dyDescent="0.15">
      <c r="A8">
        <v>7</v>
      </c>
      <c r="B8">
        <v>-0.1151295479915162</v>
      </c>
      <c r="C8">
        <v>0.1151295479915162</v>
      </c>
      <c r="D8">
        <v>-1.869658743079464E-2</v>
      </c>
      <c r="E8">
        <v>1.869658743079464E-2</v>
      </c>
      <c r="F8">
        <v>1.951884111280654E-3</v>
      </c>
      <c r="G8">
        <v>37</v>
      </c>
      <c r="H8">
        <v>102</v>
      </c>
      <c r="I8">
        <v>57</v>
      </c>
    </row>
    <row r="9" spans="1:9" x14ac:dyDescent="0.15">
      <c r="A9">
        <v>8</v>
      </c>
      <c r="B9">
        <v>-0.1169901056631541</v>
      </c>
      <c r="C9">
        <v>0.1169901056631541</v>
      </c>
      <c r="D9">
        <v>-3.2585630201623243E-2</v>
      </c>
      <c r="E9">
        <v>3.2585630201623243E-2</v>
      </c>
      <c r="F9">
        <v>1.9091127065933909E-3</v>
      </c>
      <c r="G9">
        <v>29</v>
      </c>
      <c r="H9">
        <v>76</v>
      </c>
      <c r="I9">
        <v>63</v>
      </c>
    </row>
    <row r="10" spans="1:9" x14ac:dyDescent="0.15">
      <c r="A10">
        <v>9</v>
      </c>
      <c r="B10">
        <v>-0.1212924494768082</v>
      </c>
      <c r="C10">
        <v>0.1212924494768082</v>
      </c>
      <c r="D10">
        <v>-2.5843825374432351E-2</v>
      </c>
      <c r="E10">
        <v>2.5843825374432351E-2</v>
      </c>
      <c r="F10">
        <v>2.0186884671928198E-3</v>
      </c>
      <c r="G10">
        <v>26</v>
      </c>
      <c r="H10">
        <v>88</v>
      </c>
      <c r="I10">
        <v>46</v>
      </c>
    </row>
    <row r="11" spans="1:9" x14ac:dyDescent="0.15">
      <c r="A11">
        <v>10</v>
      </c>
      <c r="B11">
        <v>-0.1258415241527005</v>
      </c>
      <c r="C11">
        <v>0.1258415241527005</v>
      </c>
      <c r="D11">
        <v>-1.872624781916853E-2</v>
      </c>
      <c r="E11">
        <v>1.872624781916853E-2</v>
      </c>
      <c r="F11">
        <v>2.1663122127007261E-3</v>
      </c>
      <c r="G11">
        <v>25</v>
      </c>
      <c r="H11">
        <v>101</v>
      </c>
      <c r="I11">
        <v>33</v>
      </c>
    </row>
    <row r="12" spans="1:9" x14ac:dyDescent="0.15">
      <c r="A12">
        <v>11</v>
      </c>
      <c r="B12">
        <v>-0.1144461219537985</v>
      </c>
      <c r="C12">
        <v>0.1144461219537985</v>
      </c>
      <c r="D12">
        <v>-2.2196098974585798E-2</v>
      </c>
      <c r="E12">
        <v>2.2196098974585798E-2</v>
      </c>
      <c r="F12">
        <v>1.9187225966656851E-3</v>
      </c>
      <c r="G12">
        <v>38</v>
      </c>
      <c r="H12">
        <v>92</v>
      </c>
      <c r="I12">
        <v>62</v>
      </c>
    </row>
    <row r="13" spans="1:9" x14ac:dyDescent="0.15">
      <c r="A13">
        <v>12</v>
      </c>
      <c r="B13">
        <v>-0.1144410445591945</v>
      </c>
      <c r="C13">
        <v>0.1144410445591945</v>
      </c>
      <c r="D13">
        <v>-2.0522293529596791E-2</v>
      </c>
      <c r="E13">
        <v>2.0522293529596791E-2</v>
      </c>
      <c r="F13">
        <v>1.9330513935611371E-3</v>
      </c>
      <c r="G13">
        <v>40</v>
      </c>
      <c r="H13">
        <v>94</v>
      </c>
      <c r="I13">
        <v>60</v>
      </c>
    </row>
    <row r="14" spans="1:9" x14ac:dyDescent="0.15">
      <c r="A14">
        <v>13</v>
      </c>
      <c r="B14">
        <v>-0.11077679365073199</v>
      </c>
      <c r="C14">
        <v>0.11077679365073199</v>
      </c>
      <c r="D14">
        <v>-3.1770920153028077E-2</v>
      </c>
      <c r="E14">
        <v>3.1770920153028077E-2</v>
      </c>
      <c r="F14">
        <v>1.799660779474764E-3</v>
      </c>
      <c r="G14">
        <v>45</v>
      </c>
      <c r="H14">
        <v>77</v>
      </c>
      <c r="I14">
        <v>75</v>
      </c>
    </row>
    <row r="15" spans="1:9" x14ac:dyDescent="0.15">
      <c r="A15">
        <v>14</v>
      </c>
      <c r="B15">
        <v>-0.1116697433057779</v>
      </c>
      <c r="C15">
        <v>0.1116697433057779</v>
      </c>
      <c r="D15">
        <v>-2.820038672053388E-2</v>
      </c>
      <c r="E15">
        <v>2.820038672053388E-2</v>
      </c>
      <c r="F15">
        <v>1.8353227668037461E-3</v>
      </c>
      <c r="G15">
        <v>42</v>
      </c>
      <c r="H15">
        <v>83</v>
      </c>
      <c r="I15">
        <v>69</v>
      </c>
    </row>
    <row r="16" spans="1:9" x14ac:dyDescent="0.15">
      <c r="A16">
        <v>15</v>
      </c>
      <c r="B16">
        <v>-0.1040311678524834</v>
      </c>
      <c r="C16">
        <v>0.1040311678524834</v>
      </c>
      <c r="D16">
        <v>-4.9377588590869527E-2</v>
      </c>
      <c r="E16">
        <v>4.9377588590869527E-2</v>
      </c>
      <c r="F16">
        <v>1.681649094085748E-3</v>
      </c>
      <c r="G16">
        <v>85</v>
      </c>
      <c r="H16">
        <v>64</v>
      </c>
      <c r="I16">
        <v>110</v>
      </c>
    </row>
    <row r="17" spans="1:9" x14ac:dyDescent="0.15">
      <c r="A17">
        <v>16</v>
      </c>
      <c r="B17">
        <v>-0.1112683558935578</v>
      </c>
      <c r="C17">
        <v>0.1112683558935578</v>
      </c>
      <c r="D17">
        <v>-2.8850765256166661E-2</v>
      </c>
      <c r="E17">
        <v>2.8850765256166661E-2</v>
      </c>
      <c r="F17">
        <v>1.8222666937127441E-3</v>
      </c>
      <c r="G17">
        <v>43</v>
      </c>
      <c r="H17">
        <v>82</v>
      </c>
      <c r="I17">
        <v>71</v>
      </c>
    </row>
    <row r="18" spans="1:9" x14ac:dyDescent="0.15">
      <c r="A18">
        <v>17</v>
      </c>
      <c r="B18">
        <v>-0.10442784182280911</v>
      </c>
      <c r="C18">
        <v>0.10442784182280911</v>
      </c>
      <c r="D18">
        <v>-4.6835870267620261E-2</v>
      </c>
      <c r="E18">
        <v>4.6835870267620261E-2</v>
      </c>
      <c r="F18">
        <v>1.689401176648282E-3</v>
      </c>
      <c r="G18">
        <v>81</v>
      </c>
      <c r="H18">
        <v>65</v>
      </c>
      <c r="I18">
        <v>107</v>
      </c>
    </row>
    <row r="19" spans="1:9" x14ac:dyDescent="0.15">
      <c r="A19">
        <v>18</v>
      </c>
      <c r="B19">
        <v>-0.103828014088045</v>
      </c>
      <c r="C19">
        <v>0.103828014088045</v>
      </c>
      <c r="D19">
        <v>-4.1295197184329988E-2</v>
      </c>
      <c r="E19">
        <v>4.1295197184329988E-2</v>
      </c>
      <c r="F19">
        <v>1.6930826340515489E-3</v>
      </c>
      <c r="G19">
        <v>86</v>
      </c>
      <c r="H19">
        <v>69</v>
      </c>
      <c r="I19">
        <v>106</v>
      </c>
    </row>
    <row r="20" spans="1:9" x14ac:dyDescent="0.15">
      <c r="A20">
        <v>19</v>
      </c>
      <c r="B20">
        <v>-0.1030299921468148</v>
      </c>
      <c r="C20">
        <v>0.1030299921468148</v>
      </c>
      <c r="D20">
        <v>-4.9410726658479648E-2</v>
      </c>
      <c r="E20">
        <v>4.9410726658479648E-2</v>
      </c>
      <c r="F20">
        <v>1.6828597690576399E-3</v>
      </c>
      <c r="G20">
        <v>96</v>
      </c>
      <c r="H20">
        <v>63</v>
      </c>
      <c r="I20">
        <v>109</v>
      </c>
    </row>
    <row r="21" spans="1:9" x14ac:dyDescent="0.15">
      <c r="A21">
        <v>20</v>
      </c>
      <c r="B21">
        <v>-0.1023909608557646</v>
      </c>
      <c r="C21">
        <v>0.1023909608557646</v>
      </c>
      <c r="D21">
        <v>-4.3802122996803083E-2</v>
      </c>
      <c r="E21">
        <v>4.3802122996803083E-2</v>
      </c>
      <c r="F21">
        <v>1.696806953752806E-3</v>
      </c>
      <c r="G21">
        <v>102</v>
      </c>
      <c r="H21">
        <v>67</v>
      </c>
      <c r="I21">
        <v>105</v>
      </c>
    </row>
    <row r="22" spans="1:9" x14ac:dyDescent="0.15">
      <c r="A22">
        <v>21</v>
      </c>
      <c r="B22">
        <v>-0.1021715332838144</v>
      </c>
      <c r="C22">
        <v>0.1021715332838144</v>
      </c>
      <c r="D22">
        <v>-3.9732290083330082E-2</v>
      </c>
      <c r="E22">
        <v>3.9732290083330082E-2</v>
      </c>
      <c r="F22">
        <v>1.7104900299818051E-3</v>
      </c>
      <c r="G22">
        <v>105</v>
      </c>
      <c r="H22">
        <v>71</v>
      </c>
      <c r="I22">
        <v>100</v>
      </c>
    </row>
    <row r="23" spans="1:9" x14ac:dyDescent="0.15">
      <c r="A23">
        <v>22</v>
      </c>
      <c r="B23">
        <v>-0.1021875276778646</v>
      </c>
      <c r="C23">
        <v>0.1021875276778646</v>
      </c>
      <c r="D23">
        <v>-3.5082422090316173E-2</v>
      </c>
      <c r="E23">
        <v>3.5082422090316173E-2</v>
      </c>
      <c r="F23">
        <v>1.7296893812935659E-3</v>
      </c>
      <c r="G23">
        <v>104</v>
      </c>
      <c r="H23">
        <v>75</v>
      </c>
      <c r="I23">
        <v>97</v>
      </c>
    </row>
    <row r="24" spans="1:9" x14ac:dyDescent="0.15">
      <c r="A24">
        <v>23</v>
      </c>
      <c r="B24">
        <v>-0.1027111941220528</v>
      </c>
      <c r="C24">
        <v>0.1027111941220528</v>
      </c>
      <c r="D24">
        <v>-2.7460473524448029E-2</v>
      </c>
      <c r="E24">
        <v>2.7460473524448029E-2</v>
      </c>
      <c r="F24">
        <v>1.769061692753213E-3</v>
      </c>
      <c r="G24">
        <v>100</v>
      </c>
      <c r="H24">
        <v>84</v>
      </c>
      <c r="I24">
        <v>88</v>
      </c>
    </row>
    <row r="25" spans="1:9" x14ac:dyDescent="0.15">
      <c r="A25">
        <v>24</v>
      </c>
      <c r="B25">
        <v>-0.1031876455735679</v>
      </c>
      <c r="C25">
        <v>0.1031876455735679</v>
      </c>
      <c r="D25">
        <v>-3.0996234605238541E-2</v>
      </c>
      <c r="E25">
        <v>3.0996234605238541E-2</v>
      </c>
      <c r="F25">
        <v>1.795775904450157E-3</v>
      </c>
      <c r="G25">
        <v>91</v>
      </c>
      <c r="H25">
        <v>79</v>
      </c>
      <c r="I25">
        <v>77</v>
      </c>
    </row>
    <row r="26" spans="1:9" x14ac:dyDescent="0.15">
      <c r="A26">
        <v>25</v>
      </c>
      <c r="B26">
        <v>-0.10339533541611939</v>
      </c>
      <c r="C26">
        <v>0.10339533541611939</v>
      </c>
      <c r="D26">
        <v>-2.3829457712661581E-2</v>
      </c>
      <c r="E26">
        <v>2.3829457712661581E-2</v>
      </c>
      <c r="F26">
        <v>1.76310294657376E-3</v>
      </c>
      <c r="G26">
        <v>89</v>
      </c>
      <c r="H26">
        <v>90</v>
      </c>
      <c r="I26">
        <v>91</v>
      </c>
    </row>
    <row r="27" spans="1:9" x14ac:dyDescent="0.15">
      <c r="A27">
        <v>26</v>
      </c>
      <c r="B27">
        <v>-0.1036692149227859</v>
      </c>
      <c r="C27">
        <v>0.1036692149227859</v>
      </c>
      <c r="D27">
        <v>-2.9867759055867849E-2</v>
      </c>
      <c r="E27">
        <v>2.9867759055867849E-2</v>
      </c>
      <c r="F27">
        <v>1.7407550931593839E-3</v>
      </c>
      <c r="G27">
        <v>87</v>
      </c>
      <c r="H27">
        <v>81</v>
      </c>
      <c r="I27">
        <v>94</v>
      </c>
    </row>
    <row r="28" spans="1:9" x14ac:dyDescent="0.15">
      <c r="A28">
        <v>27</v>
      </c>
      <c r="B28">
        <v>-0.10305144162265351</v>
      </c>
      <c r="C28">
        <v>0.10305144162265351</v>
      </c>
      <c r="D28">
        <v>-1.6276287532528119E-2</v>
      </c>
      <c r="E28">
        <v>1.6276287532528119E-2</v>
      </c>
      <c r="F28">
        <v>1.788392938862916E-3</v>
      </c>
      <c r="G28">
        <v>95</v>
      </c>
      <c r="H28">
        <v>112</v>
      </c>
      <c r="I28">
        <v>81</v>
      </c>
    </row>
    <row r="29" spans="1:9" x14ac:dyDescent="0.15">
      <c r="A29">
        <v>28</v>
      </c>
      <c r="B29">
        <v>-0.10307584255060161</v>
      </c>
      <c r="C29">
        <v>0.10307584255060161</v>
      </c>
      <c r="D29">
        <v>-1.7818947916771601E-2</v>
      </c>
      <c r="E29">
        <v>1.7818947916771601E-2</v>
      </c>
      <c r="F29">
        <v>1.779198570065084E-3</v>
      </c>
      <c r="G29">
        <v>94</v>
      </c>
      <c r="H29">
        <v>105</v>
      </c>
      <c r="I29">
        <v>84</v>
      </c>
    </row>
    <row r="30" spans="1:9" x14ac:dyDescent="0.15">
      <c r="A30">
        <v>29</v>
      </c>
      <c r="B30">
        <v>-0.10313783944250331</v>
      </c>
      <c r="C30">
        <v>0.10313783944250331</v>
      </c>
      <c r="D30">
        <v>-1.9520385042317331E-2</v>
      </c>
      <c r="E30">
        <v>1.9520385042317331E-2</v>
      </c>
      <c r="F30">
        <v>1.7696952543267211E-3</v>
      </c>
      <c r="G30">
        <v>93</v>
      </c>
      <c r="H30">
        <v>99</v>
      </c>
      <c r="I30">
        <v>87</v>
      </c>
    </row>
    <row r="31" spans="1:9" x14ac:dyDescent="0.15">
      <c r="A31">
        <v>30</v>
      </c>
      <c r="B31">
        <v>-0.1043204233409189</v>
      </c>
      <c r="C31">
        <v>0.1043204233409189</v>
      </c>
      <c r="D31">
        <v>-8.6553883346029578E-2</v>
      </c>
      <c r="E31">
        <v>8.6553883346029578E-2</v>
      </c>
      <c r="F31">
        <v>1.627333207039083E-3</v>
      </c>
      <c r="G31">
        <v>83</v>
      </c>
      <c r="H31">
        <v>57</v>
      </c>
      <c r="I31">
        <v>117</v>
      </c>
    </row>
    <row r="32" spans="1:9" x14ac:dyDescent="0.15">
      <c r="A32">
        <v>31</v>
      </c>
      <c r="B32">
        <v>-0.1031687633428074</v>
      </c>
      <c r="C32">
        <v>0.1031687633428074</v>
      </c>
      <c r="D32">
        <v>-2.0117602103351929E-2</v>
      </c>
      <c r="E32">
        <v>2.0117602103351929E-2</v>
      </c>
      <c r="F32">
        <v>1.7665199864538091E-3</v>
      </c>
      <c r="G32">
        <v>92</v>
      </c>
      <c r="H32">
        <v>96</v>
      </c>
      <c r="I32">
        <v>89</v>
      </c>
    </row>
    <row r="33" spans="1:9" x14ac:dyDescent="0.15">
      <c r="A33">
        <v>32</v>
      </c>
      <c r="B33">
        <v>-0.1029554375564921</v>
      </c>
      <c r="C33">
        <v>0.1029554375564921</v>
      </c>
      <c r="D33">
        <v>-1.8880522213525E-2</v>
      </c>
      <c r="E33">
        <v>1.8880522213525E-2</v>
      </c>
      <c r="F33">
        <v>1.7767463018447691E-3</v>
      </c>
      <c r="G33">
        <v>99</v>
      </c>
      <c r="H33">
        <v>100</v>
      </c>
      <c r="I33">
        <v>85</v>
      </c>
    </row>
    <row r="34" spans="1:9" x14ac:dyDescent="0.15">
      <c r="A34">
        <v>33</v>
      </c>
      <c r="B34">
        <v>-9.7665962130484105E-2</v>
      </c>
      <c r="C34">
        <v>9.7665962130484105E-2</v>
      </c>
      <c r="D34">
        <v>-0.1187160281551564</v>
      </c>
      <c r="E34">
        <v>0.1187160281551564</v>
      </c>
      <c r="F34">
        <v>1.624786346856485E-3</v>
      </c>
      <c r="G34">
        <v>113</v>
      </c>
      <c r="H34">
        <v>48</v>
      </c>
      <c r="I34">
        <v>118</v>
      </c>
    </row>
    <row r="35" spans="1:9" x14ac:dyDescent="0.15">
      <c r="A35">
        <v>34</v>
      </c>
      <c r="B35">
        <v>-9.6075237151596188E-2</v>
      </c>
      <c r="C35">
        <v>9.6075237151596188E-2</v>
      </c>
      <c r="D35">
        <v>-0.19443331520473461</v>
      </c>
      <c r="E35">
        <v>0.19443331520473461</v>
      </c>
      <c r="F35">
        <v>1.7008275601642429E-3</v>
      </c>
      <c r="G35">
        <v>116</v>
      </c>
      <c r="H35">
        <v>36</v>
      </c>
      <c r="I35">
        <v>104</v>
      </c>
    </row>
    <row r="36" spans="1:9" x14ac:dyDescent="0.15">
      <c r="A36">
        <v>35</v>
      </c>
      <c r="B36">
        <v>-9.580920742673231E-2</v>
      </c>
      <c r="C36">
        <v>9.580920742673231E-2</v>
      </c>
      <c r="D36">
        <v>-0.17689584057328001</v>
      </c>
      <c r="E36">
        <v>0.17689584057328001</v>
      </c>
      <c r="F36">
        <v>1.7088725640668849E-3</v>
      </c>
      <c r="G36">
        <v>117</v>
      </c>
      <c r="H36">
        <v>38</v>
      </c>
      <c r="I36">
        <v>101</v>
      </c>
    </row>
    <row r="37" spans="1:9" x14ac:dyDescent="0.15">
      <c r="A37">
        <v>36</v>
      </c>
      <c r="B37">
        <v>-9.5705932314974207E-2</v>
      </c>
      <c r="C37">
        <v>9.5705932314974207E-2</v>
      </c>
      <c r="D37">
        <v>-0.17259243242603561</v>
      </c>
      <c r="E37">
        <v>0.17259243242603561</v>
      </c>
      <c r="F37">
        <v>1.710567996446162E-3</v>
      </c>
      <c r="G37">
        <v>118</v>
      </c>
      <c r="H37">
        <v>40</v>
      </c>
      <c r="I37">
        <v>99</v>
      </c>
    </row>
    <row r="38" spans="1:9" x14ac:dyDescent="0.15">
      <c r="A38">
        <v>37</v>
      </c>
      <c r="B38">
        <v>-9.6499072211455497E-2</v>
      </c>
      <c r="C38">
        <v>9.6499072211455497E-2</v>
      </c>
      <c r="D38">
        <v>-0.19786440772210759</v>
      </c>
      <c r="E38">
        <v>0.19786440772210759</v>
      </c>
      <c r="F38">
        <v>1.7016177460472319E-3</v>
      </c>
      <c r="G38">
        <v>115</v>
      </c>
      <c r="H38">
        <v>35</v>
      </c>
      <c r="I38">
        <v>103</v>
      </c>
    </row>
    <row r="39" spans="1:9" x14ac:dyDescent="0.15">
      <c r="A39">
        <v>38</v>
      </c>
      <c r="B39">
        <v>-9.6615188559527831E-2</v>
      </c>
      <c r="C39">
        <v>9.6615188559527831E-2</v>
      </c>
      <c r="D39">
        <v>-0.23755150700380159</v>
      </c>
      <c r="E39">
        <v>0.23755150700380159</v>
      </c>
      <c r="F39">
        <v>1.657912202852108E-3</v>
      </c>
      <c r="G39">
        <v>114</v>
      </c>
      <c r="H39">
        <v>32</v>
      </c>
      <c r="I39">
        <v>116</v>
      </c>
    </row>
    <row r="40" spans="1:9" x14ac:dyDescent="0.15">
      <c r="A40">
        <v>39</v>
      </c>
      <c r="B40">
        <v>-0.1106089649095701</v>
      </c>
      <c r="C40">
        <v>0.1106089649095701</v>
      </c>
      <c r="D40">
        <v>-0.20917207123384859</v>
      </c>
      <c r="E40">
        <v>0.20917207123384859</v>
      </c>
      <c r="F40">
        <v>1.855599201694197E-3</v>
      </c>
      <c r="G40">
        <v>46</v>
      </c>
      <c r="H40">
        <v>34</v>
      </c>
      <c r="I40">
        <v>67</v>
      </c>
    </row>
    <row r="41" spans="1:9" x14ac:dyDescent="0.15">
      <c r="A41">
        <v>40</v>
      </c>
      <c r="B41">
        <v>-0.11978842462411581</v>
      </c>
      <c r="C41">
        <v>0.11978842462411581</v>
      </c>
      <c r="D41">
        <v>-0.2156259735212103</v>
      </c>
      <c r="E41">
        <v>0.2156259735212103</v>
      </c>
      <c r="F41">
        <v>1.964008842356495E-3</v>
      </c>
      <c r="G41">
        <v>28</v>
      </c>
      <c r="H41">
        <v>33</v>
      </c>
      <c r="I41">
        <v>52</v>
      </c>
    </row>
    <row r="42" spans="1:9" x14ac:dyDescent="0.15">
      <c r="A42">
        <v>41</v>
      </c>
      <c r="B42">
        <v>-0.12092266924507911</v>
      </c>
      <c r="C42">
        <v>0.12092266924507911</v>
      </c>
      <c r="D42">
        <v>-0.28515151261302502</v>
      </c>
      <c r="E42">
        <v>0.28515151261302502</v>
      </c>
      <c r="F42">
        <v>2.014089646885518E-3</v>
      </c>
      <c r="G42">
        <v>27</v>
      </c>
      <c r="H42">
        <v>31</v>
      </c>
      <c r="I42">
        <v>47</v>
      </c>
    </row>
    <row r="43" spans="1:9" x14ac:dyDescent="0.15">
      <c r="A43">
        <v>42</v>
      </c>
      <c r="B43">
        <v>-0.12857533903514459</v>
      </c>
      <c r="C43">
        <v>0.12857533903514459</v>
      </c>
      <c r="D43">
        <v>-0.47788144644043767</v>
      </c>
      <c r="E43">
        <v>0.47788144644043767</v>
      </c>
      <c r="F43">
        <v>2.1990360042180531E-3</v>
      </c>
      <c r="G43">
        <v>24</v>
      </c>
      <c r="H43">
        <v>22</v>
      </c>
      <c r="I43">
        <v>31</v>
      </c>
    </row>
    <row r="44" spans="1:9" x14ac:dyDescent="0.15">
      <c r="A44">
        <v>43</v>
      </c>
      <c r="B44">
        <v>-0.1055184834930861</v>
      </c>
      <c r="C44">
        <v>0.1055184834930861</v>
      </c>
      <c r="D44">
        <v>-0.56016629867155221</v>
      </c>
      <c r="E44">
        <v>0.56016629867155221</v>
      </c>
      <c r="F44">
        <v>1.865365756603325E-3</v>
      </c>
      <c r="G44">
        <v>73</v>
      </c>
      <c r="H44">
        <v>18</v>
      </c>
      <c r="I44">
        <v>64</v>
      </c>
    </row>
    <row r="45" spans="1:9" x14ac:dyDescent="0.15">
      <c r="A45">
        <v>44</v>
      </c>
      <c r="B45">
        <v>-0.13470910537036809</v>
      </c>
      <c r="C45">
        <v>0.13470910537036809</v>
      </c>
      <c r="D45">
        <v>-1.094079886671296</v>
      </c>
      <c r="E45">
        <v>1.094079886671296</v>
      </c>
      <c r="F45">
        <v>2.3642705529149412E-3</v>
      </c>
      <c r="G45">
        <v>22</v>
      </c>
      <c r="H45">
        <v>9</v>
      </c>
      <c r="I45">
        <v>17</v>
      </c>
    </row>
    <row r="46" spans="1:9" x14ac:dyDescent="0.15">
      <c r="A46">
        <v>45</v>
      </c>
      <c r="B46">
        <v>-0.15042334145613551</v>
      </c>
      <c r="C46">
        <v>0.15042334145613551</v>
      </c>
      <c r="D46">
        <v>-1.2901092847103219</v>
      </c>
      <c r="E46">
        <v>1.2901092847103219</v>
      </c>
      <c r="F46">
        <v>2.595762339255678E-3</v>
      </c>
      <c r="G46">
        <v>13</v>
      </c>
      <c r="H46">
        <v>5</v>
      </c>
      <c r="I46">
        <v>14</v>
      </c>
    </row>
    <row r="47" spans="1:9" x14ac:dyDescent="0.15">
      <c r="A47">
        <v>46</v>
      </c>
      <c r="B47">
        <v>-0.17379786025921801</v>
      </c>
      <c r="C47">
        <v>0.17379786025921801</v>
      </c>
      <c r="D47">
        <v>-1.193875048512993</v>
      </c>
      <c r="E47">
        <v>1.193875048512993</v>
      </c>
      <c r="F47">
        <v>2.7991627254234249E-3</v>
      </c>
      <c r="G47">
        <v>4</v>
      </c>
      <c r="H47">
        <v>6</v>
      </c>
      <c r="I47">
        <v>12</v>
      </c>
    </row>
    <row r="48" spans="1:9" x14ac:dyDescent="0.15">
      <c r="A48">
        <v>47</v>
      </c>
      <c r="B48">
        <v>-0.15029287779430181</v>
      </c>
      <c r="C48">
        <v>0.15029287779430181</v>
      </c>
      <c r="D48">
        <v>-1.45851064021207</v>
      </c>
      <c r="E48">
        <v>1.45851064021207</v>
      </c>
      <c r="F48">
        <v>2.707771294728563E-3</v>
      </c>
      <c r="G48">
        <v>15</v>
      </c>
      <c r="H48">
        <v>4</v>
      </c>
      <c r="I48">
        <v>13</v>
      </c>
    </row>
    <row r="49" spans="1:9" x14ac:dyDescent="0.15">
      <c r="A49">
        <v>48</v>
      </c>
      <c r="B49">
        <v>-0.1577758130480694</v>
      </c>
      <c r="C49">
        <v>0.1577758130480694</v>
      </c>
      <c r="D49">
        <v>-1.6933359420744161</v>
      </c>
      <c r="E49">
        <v>1.6933359420744161</v>
      </c>
      <c r="F49">
        <v>2.9612934175344868E-3</v>
      </c>
      <c r="G49">
        <v>9</v>
      </c>
      <c r="H49">
        <v>2</v>
      </c>
      <c r="I49">
        <v>6</v>
      </c>
    </row>
    <row r="50" spans="1:9" x14ac:dyDescent="0.15">
      <c r="A50">
        <v>49</v>
      </c>
      <c r="B50">
        <v>-0.15610778594697641</v>
      </c>
      <c r="C50">
        <v>0.15610778594697641</v>
      </c>
      <c r="D50">
        <v>-1.8267897787138441</v>
      </c>
      <c r="E50">
        <v>1.8267897787138441</v>
      </c>
      <c r="F50">
        <v>3.0998190025854949E-3</v>
      </c>
      <c r="G50">
        <v>11</v>
      </c>
      <c r="H50">
        <v>1</v>
      </c>
      <c r="I50">
        <v>1</v>
      </c>
    </row>
    <row r="51" spans="1:9" x14ac:dyDescent="0.15">
      <c r="A51">
        <v>50</v>
      </c>
      <c r="B51">
        <v>-0.15557569486616421</v>
      </c>
      <c r="C51">
        <v>0.15557569486616421</v>
      </c>
      <c r="D51">
        <v>-1.5374296482299621</v>
      </c>
      <c r="E51">
        <v>1.5374296482299621</v>
      </c>
      <c r="F51">
        <v>2.9665519099411871E-3</v>
      </c>
      <c r="G51">
        <v>12</v>
      </c>
      <c r="H51">
        <v>3</v>
      </c>
      <c r="I51">
        <v>5</v>
      </c>
    </row>
    <row r="52" spans="1:9" x14ac:dyDescent="0.15">
      <c r="A52">
        <v>51</v>
      </c>
      <c r="B52">
        <v>-0.1572898848078155</v>
      </c>
      <c r="C52">
        <v>0.1572898848078155</v>
      </c>
      <c r="D52">
        <v>-1.186623084411101</v>
      </c>
      <c r="E52">
        <v>1.186623084411101</v>
      </c>
      <c r="F52">
        <v>2.89974650735172E-3</v>
      </c>
      <c r="G52">
        <v>10</v>
      </c>
      <c r="H52">
        <v>7</v>
      </c>
      <c r="I52">
        <v>11</v>
      </c>
    </row>
    <row r="53" spans="1:9" x14ac:dyDescent="0.15">
      <c r="A53">
        <v>52</v>
      </c>
      <c r="B53">
        <v>-0.15793876964884709</v>
      </c>
      <c r="C53">
        <v>0.15793876964884709</v>
      </c>
      <c r="D53">
        <v>-1.099087818067118</v>
      </c>
      <c r="E53">
        <v>1.099087818067118</v>
      </c>
      <c r="F53">
        <v>2.9005929755577219E-3</v>
      </c>
      <c r="G53">
        <v>8</v>
      </c>
      <c r="H53">
        <v>8</v>
      </c>
      <c r="I53">
        <v>10</v>
      </c>
    </row>
    <row r="54" spans="1:9" x14ac:dyDescent="0.15">
      <c r="A54">
        <v>53</v>
      </c>
      <c r="B54">
        <v>-0.16605917465609699</v>
      </c>
      <c r="C54">
        <v>0.16605917465609699</v>
      </c>
      <c r="D54">
        <v>-0.85568618461063362</v>
      </c>
      <c r="E54">
        <v>0.85568618461063362</v>
      </c>
      <c r="F54">
        <v>2.9389818557823198E-3</v>
      </c>
      <c r="G54">
        <v>5</v>
      </c>
      <c r="H54">
        <v>13</v>
      </c>
      <c r="I54">
        <v>7</v>
      </c>
    </row>
    <row r="55" spans="1:9" x14ac:dyDescent="0.15">
      <c r="A55">
        <v>54</v>
      </c>
      <c r="B55">
        <v>-0.17413498423695381</v>
      </c>
      <c r="C55">
        <v>0.17413498423695381</v>
      </c>
      <c r="D55">
        <v>-0.67406539389692666</v>
      </c>
      <c r="E55">
        <v>0.67406539389692666</v>
      </c>
      <c r="F55">
        <v>3.001105716203289E-3</v>
      </c>
      <c r="G55">
        <v>3</v>
      </c>
      <c r="H55">
        <v>15</v>
      </c>
      <c r="I55">
        <v>4</v>
      </c>
    </row>
    <row r="56" spans="1:9" x14ac:dyDescent="0.15">
      <c r="A56">
        <v>55</v>
      </c>
      <c r="B56">
        <v>-0.17778606521464521</v>
      </c>
      <c r="C56">
        <v>0.17778606521464521</v>
      </c>
      <c r="D56">
        <v>-0.59428629518511544</v>
      </c>
      <c r="E56">
        <v>0.59428629518511544</v>
      </c>
      <c r="F56">
        <v>3.0443080454492571E-3</v>
      </c>
      <c r="G56">
        <v>1</v>
      </c>
      <c r="H56">
        <v>17</v>
      </c>
      <c r="I56">
        <v>2</v>
      </c>
    </row>
    <row r="57" spans="1:9" x14ac:dyDescent="0.15">
      <c r="A57">
        <v>56</v>
      </c>
      <c r="B57">
        <v>-0.17479439562404661</v>
      </c>
      <c r="C57">
        <v>0.17479439562404661</v>
      </c>
      <c r="D57">
        <v>-0.65010988640039624</v>
      </c>
      <c r="E57">
        <v>0.65010988640039624</v>
      </c>
      <c r="F57">
        <v>3.0052608268192811E-3</v>
      </c>
      <c r="G57">
        <v>2</v>
      </c>
      <c r="H57">
        <v>16</v>
      </c>
      <c r="I57">
        <v>3</v>
      </c>
    </row>
    <row r="58" spans="1:9" x14ac:dyDescent="0.15">
      <c r="A58">
        <v>57</v>
      </c>
      <c r="B58">
        <v>-0.15854086527156311</v>
      </c>
      <c r="C58">
        <v>0.15854086527156311</v>
      </c>
      <c r="D58">
        <v>-1.021814522101766</v>
      </c>
      <c r="E58">
        <v>1.021814522101766</v>
      </c>
      <c r="F58">
        <v>2.904695144884002E-3</v>
      </c>
      <c r="G58">
        <v>7</v>
      </c>
      <c r="H58">
        <v>10</v>
      </c>
      <c r="I58">
        <v>9</v>
      </c>
    </row>
    <row r="59" spans="1:9" x14ac:dyDescent="0.15">
      <c r="A59">
        <v>58</v>
      </c>
      <c r="B59">
        <v>-0.16135874811420789</v>
      </c>
      <c r="C59">
        <v>0.16135874811420789</v>
      </c>
      <c r="D59">
        <v>-0.9576895595626167</v>
      </c>
      <c r="E59">
        <v>0.9576895595626167</v>
      </c>
      <c r="F59">
        <v>2.9140793637447262E-3</v>
      </c>
      <c r="G59">
        <v>6</v>
      </c>
      <c r="H59">
        <v>11</v>
      </c>
      <c r="I59">
        <v>8</v>
      </c>
    </row>
    <row r="60" spans="1:9" x14ac:dyDescent="0.15">
      <c r="A60">
        <v>59</v>
      </c>
      <c r="B60">
        <v>-0.1503636318794557</v>
      </c>
      <c r="C60">
        <v>0.1503636318794557</v>
      </c>
      <c r="D60">
        <v>-0.48895579715545462</v>
      </c>
      <c r="E60">
        <v>0.48895579715545462</v>
      </c>
      <c r="F60">
        <v>2.4750206445131721E-3</v>
      </c>
      <c r="G60">
        <v>14</v>
      </c>
      <c r="H60">
        <v>20</v>
      </c>
      <c r="I60">
        <v>15</v>
      </c>
    </row>
    <row r="61" spans="1:9" x14ac:dyDescent="0.15">
      <c r="A61">
        <v>60</v>
      </c>
      <c r="B61">
        <v>-0.14331281970145421</v>
      </c>
      <c r="C61">
        <v>0.14331281970145421</v>
      </c>
      <c r="D61">
        <v>-0.45745762135680262</v>
      </c>
      <c r="E61">
        <v>0.45745762135680262</v>
      </c>
      <c r="F61">
        <v>2.254878689134255E-3</v>
      </c>
      <c r="G61">
        <v>17</v>
      </c>
      <c r="H61">
        <v>25</v>
      </c>
      <c r="I61">
        <v>23</v>
      </c>
    </row>
    <row r="62" spans="1:9" x14ac:dyDescent="0.15">
      <c r="A62">
        <v>61</v>
      </c>
      <c r="B62">
        <v>-0.14231946960611269</v>
      </c>
      <c r="C62">
        <v>0.14231946960611269</v>
      </c>
      <c r="D62">
        <v>-0.45077448614762439</v>
      </c>
      <c r="E62">
        <v>0.45077448614762439</v>
      </c>
      <c r="F62">
        <v>2.2386765287602649E-3</v>
      </c>
      <c r="G62">
        <v>18</v>
      </c>
      <c r="H62">
        <v>26</v>
      </c>
      <c r="I62">
        <v>26</v>
      </c>
    </row>
    <row r="63" spans="1:9" x14ac:dyDescent="0.15">
      <c r="A63">
        <v>62</v>
      </c>
      <c r="B63">
        <v>-0.14478015858792009</v>
      </c>
      <c r="C63">
        <v>0.14478015858792009</v>
      </c>
      <c r="D63">
        <v>-0.47304322540173233</v>
      </c>
      <c r="E63">
        <v>0.47304322540173233</v>
      </c>
      <c r="F63">
        <v>2.247061069253676E-3</v>
      </c>
      <c r="G63">
        <v>16</v>
      </c>
      <c r="H63">
        <v>24</v>
      </c>
      <c r="I63">
        <v>24</v>
      </c>
    </row>
    <row r="64" spans="1:9" x14ac:dyDescent="0.15">
      <c r="A64">
        <v>63</v>
      </c>
      <c r="B64">
        <v>-0.13887315669439251</v>
      </c>
      <c r="C64">
        <v>0.13887315669439251</v>
      </c>
      <c r="D64">
        <v>-0.4812207298667795</v>
      </c>
      <c r="E64">
        <v>0.4812207298667795</v>
      </c>
      <c r="F64">
        <v>2.2652738229193758E-3</v>
      </c>
      <c r="G64">
        <v>20</v>
      </c>
      <c r="H64">
        <v>21</v>
      </c>
      <c r="I64">
        <v>22</v>
      </c>
    </row>
    <row r="65" spans="1:9" x14ac:dyDescent="0.15">
      <c r="A65">
        <v>64</v>
      </c>
      <c r="B65">
        <v>-0.1330410999789666</v>
      </c>
      <c r="C65">
        <v>0.1330410999789666</v>
      </c>
      <c r="D65">
        <v>-0.4770459310279006</v>
      </c>
      <c r="E65">
        <v>0.4770459310279006</v>
      </c>
      <c r="F65">
        <v>2.1602207295506209E-3</v>
      </c>
      <c r="G65">
        <v>23</v>
      </c>
      <c r="H65">
        <v>23</v>
      </c>
      <c r="I65">
        <v>34</v>
      </c>
    </row>
    <row r="66" spans="1:9" x14ac:dyDescent="0.15">
      <c r="A66">
        <v>65</v>
      </c>
      <c r="B66">
        <v>-0.11540768946961689</v>
      </c>
      <c r="C66">
        <v>0.11540768946961689</v>
      </c>
      <c r="D66">
        <v>-0.50079720242587611</v>
      </c>
      <c r="E66">
        <v>0.50079720242587611</v>
      </c>
      <c r="F66">
        <v>1.9525567998872791E-3</v>
      </c>
      <c r="G66">
        <v>35</v>
      </c>
      <c r="H66">
        <v>19</v>
      </c>
      <c r="I66">
        <v>56</v>
      </c>
    </row>
    <row r="67" spans="1:9" x14ac:dyDescent="0.15">
      <c r="A67">
        <v>66</v>
      </c>
      <c r="B67">
        <v>-0.13872192081928841</v>
      </c>
      <c r="C67">
        <v>0.13872192081928841</v>
      </c>
      <c r="D67">
        <v>-0.90704537018285547</v>
      </c>
      <c r="E67">
        <v>0.90704537018285547</v>
      </c>
      <c r="F67">
        <v>2.2467761160169272E-3</v>
      </c>
      <c r="G67">
        <v>21</v>
      </c>
      <c r="H67">
        <v>12</v>
      </c>
      <c r="I67">
        <v>25</v>
      </c>
    </row>
    <row r="68" spans="1:9" x14ac:dyDescent="0.15">
      <c r="A68">
        <v>67</v>
      </c>
      <c r="B68">
        <v>-0.1392944318369693</v>
      </c>
      <c r="C68">
        <v>0.1392944318369693</v>
      </c>
      <c r="D68">
        <v>-0.7054379665431123</v>
      </c>
      <c r="E68">
        <v>0.7054379665431123</v>
      </c>
      <c r="F68">
        <v>2.217424587555692E-3</v>
      </c>
      <c r="G68">
        <v>19</v>
      </c>
      <c r="H68">
        <v>14</v>
      </c>
      <c r="I68">
        <v>30</v>
      </c>
    </row>
    <row r="69" spans="1:9" x14ac:dyDescent="0.15">
      <c r="A69">
        <v>68</v>
      </c>
      <c r="B69">
        <v>-0.1045274671157735</v>
      </c>
      <c r="C69">
        <v>0.1045274671157735</v>
      </c>
      <c r="D69">
        <v>-0.40969464497590008</v>
      </c>
      <c r="E69">
        <v>0.40969464497590008</v>
      </c>
      <c r="F69">
        <v>1.8341341544225809E-3</v>
      </c>
      <c r="G69">
        <v>80</v>
      </c>
      <c r="H69">
        <v>27</v>
      </c>
      <c r="I69">
        <v>70</v>
      </c>
    </row>
    <row r="70" spans="1:9" x14ac:dyDescent="0.15">
      <c r="A70">
        <v>69</v>
      </c>
      <c r="B70">
        <v>-0.1060952314681321</v>
      </c>
      <c r="C70">
        <v>0.1060952314681321</v>
      </c>
      <c r="D70">
        <v>-0.40044783543091828</v>
      </c>
      <c r="E70">
        <v>0.40044783543091828</v>
      </c>
      <c r="F70">
        <v>1.794990192132044E-3</v>
      </c>
      <c r="G70">
        <v>69</v>
      </c>
      <c r="H70">
        <v>29</v>
      </c>
      <c r="I70">
        <v>79</v>
      </c>
    </row>
    <row r="71" spans="1:9" x14ac:dyDescent="0.15">
      <c r="A71">
        <v>70</v>
      </c>
      <c r="B71">
        <v>-0.1049397416834047</v>
      </c>
      <c r="C71">
        <v>0.1049397416834047</v>
      </c>
      <c r="D71">
        <v>-0.1366273778214144</v>
      </c>
      <c r="E71">
        <v>0.1366273778214144</v>
      </c>
      <c r="F71">
        <v>1.775947200091418E-3</v>
      </c>
      <c r="G71">
        <v>76</v>
      </c>
      <c r="H71">
        <v>46</v>
      </c>
      <c r="I71">
        <v>86</v>
      </c>
    </row>
    <row r="72" spans="1:9" x14ac:dyDescent="0.15">
      <c r="A72">
        <v>71</v>
      </c>
      <c r="B72">
        <v>-0.1046584596054809</v>
      </c>
      <c r="C72">
        <v>0.1046584596054809</v>
      </c>
      <c r="D72">
        <v>-0.1096390504210428</v>
      </c>
      <c r="E72">
        <v>0.1096390504210428</v>
      </c>
      <c r="F72">
        <v>1.791254873806542E-3</v>
      </c>
      <c r="G72">
        <v>78</v>
      </c>
      <c r="H72">
        <v>51</v>
      </c>
      <c r="I72">
        <v>80</v>
      </c>
    </row>
    <row r="73" spans="1:9" x14ac:dyDescent="0.15">
      <c r="A73">
        <v>72</v>
      </c>
      <c r="B73">
        <v>-0.10566747033693639</v>
      </c>
      <c r="C73">
        <v>0.10566747033693639</v>
      </c>
      <c r="D73">
        <v>-4.180289002093121E-2</v>
      </c>
      <c r="E73">
        <v>4.180289002093121E-2</v>
      </c>
      <c r="F73">
        <v>1.8624112243593601E-3</v>
      </c>
      <c r="G73">
        <v>71</v>
      </c>
      <c r="H73">
        <v>68</v>
      </c>
      <c r="I73">
        <v>65</v>
      </c>
    </row>
    <row r="74" spans="1:9" x14ac:dyDescent="0.15">
      <c r="A74">
        <v>73</v>
      </c>
      <c r="B74">
        <v>-0.1042356163560897</v>
      </c>
      <c r="C74">
        <v>0.1042356163560897</v>
      </c>
      <c r="D74">
        <v>-9.2234187854692742E-2</v>
      </c>
      <c r="E74">
        <v>9.2234187854692742E-2</v>
      </c>
      <c r="F74">
        <v>1.813842063068113E-3</v>
      </c>
      <c r="G74">
        <v>84</v>
      </c>
      <c r="H74">
        <v>53</v>
      </c>
      <c r="I74">
        <v>73</v>
      </c>
    </row>
    <row r="75" spans="1:9" x14ac:dyDescent="0.15">
      <c r="A75">
        <v>74</v>
      </c>
      <c r="B75">
        <v>-0.1097410307137266</v>
      </c>
      <c r="C75">
        <v>0.1097410307137266</v>
      </c>
      <c r="D75">
        <v>-0.10562594198224901</v>
      </c>
      <c r="E75">
        <v>0.10562594198224901</v>
      </c>
      <c r="F75">
        <v>1.809199073358921E-3</v>
      </c>
      <c r="G75">
        <v>48</v>
      </c>
      <c r="H75">
        <v>52</v>
      </c>
      <c r="I75">
        <v>74</v>
      </c>
    </row>
    <row r="76" spans="1:9" x14ac:dyDescent="0.15">
      <c r="A76">
        <v>75</v>
      </c>
      <c r="B76">
        <v>-0.1073139500177807</v>
      </c>
      <c r="C76">
        <v>0.1073139500177807</v>
      </c>
      <c r="D76">
        <v>-0.15681213526034041</v>
      </c>
      <c r="E76">
        <v>0.15681213526034041</v>
      </c>
      <c r="F76">
        <v>1.757010027375202E-3</v>
      </c>
      <c r="G76">
        <v>59</v>
      </c>
      <c r="H76">
        <v>43</v>
      </c>
      <c r="I76">
        <v>93</v>
      </c>
    </row>
    <row r="77" spans="1:9" x14ac:dyDescent="0.15">
      <c r="A77">
        <v>76</v>
      </c>
      <c r="B77">
        <v>-0.1118538464283922</v>
      </c>
      <c r="C77">
        <v>0.1118538464283922</v>
      </c>
      <c r="D77">
        <v>-9.0711890821579072E-2</v>
      </c>
      <c r="E77">
        <v>9.0711890821579072E-2</v>
      </c>
      <c r="F77">
        <v>1.7654523832309949E-3</v>
      </c>
      <c r="G77">
        <v>41</v>
      </c>
      <c r="H77">
        <v>55</v>
      </c>
      <c r="I77">
        <v>90</v>
      </c>
    </row>
    <row r="78" spans="1:9" x14ac:dyDescent="0.15">
      <c r="A78">
        <v>77</v>
      </c>
      <c r="B78">
        <v>-9.940109838744296E-2</v>
      </c>
      <c r="C78">
        <v>9.940109838744296E-2</v>
      </c>
      <c r="D78">
        <v>-0.16715985533252939</v>
      </c>
      <c r="E78">
        <v>0.16715985533252939</v>
      </c>
      <c r="F78">
        <v>1.6658401687161439E-3</v>
      </c>
      <c r="G78">
        <v>112</v>
      </c>
      <c r="H78">
        <v>42</v>
      </c>
      <c r="I78">
        <v>112</v>
      </c>
    </row>
    <row r="79" spans="1:9" x14ac:dyDescent="0.15">
      <c r="A79">
        <v>78</v>
      </c>
      <c r="B79">
        <v>-9.9511218508405358E-2</v>
      </c>
      <c r="C79">
        <v>9.9511218508405358E-2</v>
      </c>
      <c r="D79">
        <v>-0.16996874220779951</v>
      </c>
      <c r="E79">
        <v>0.16996874220779951</v>
      </c>
      <c r="F79">
        <v>1.6644750373545261E-3</v>
      </c>
      <c r="G79">
        <v>111</v>
      </c>
      <c r="H79">
        <v>41</v>
      </c>
      <c r="I79">
        <v>113</v>
      </c>
    </row>
    <row r="80" spans="1:9" x14ac:dyDescent="0.15">
      <c r="A80">
        <v>79</v>
      </c>
      <c r="B80">
        <v>-9.9749860949845545E-2</v>
      </c>
      <c r="C80">
        <v>9.9749860949845545E-2</v>
      </c>
      <c r="D80">
        <v>-0.1754959067042986</v>
      </c>
      <c r="E80">
        <v>0.1754959067042986</v>
      </c>
      <c r="F80">
        <v>1.6622056755028231E-3</v>
      </c>
      <c r="G80">
        <v>110</v>
      </c>
      <c r="H80">
        <v>39</v>
      </c>
      <c r="I80">
        <v>114</v>
      </c>
    </row>
    <row r="81" spans="1:9" x14ac:dyDescent="0.15">
      <c r="A81">
        <v>80</v>
      </c>
      <c r="B81">
        <v>-0.10053031356264271</v>
      </c>
      <c r="C81">
        <v>0.10053031356264271</v>
      </c>
      <c r="D81">
        <v>-0.1914431354155092</v>
      </c>
      <c r="E81">
        <v>0.1914431354155092</v>
      </c>
      <c r="F81">
        <v>1.6587723408016859E-3</v>
      </c>
      <c r="G81">
        <v>109</v>
      </c>
      <c r="H81">
        <v>37</v>
      </c>
      <c r="I81">
        <v>115</v>
      </c>
    </row>
    <row r="82" spans="1:9" x14ac:dyDescent="0.15">
      <c r="A82">
        <v>81</v>
      </c>
      <c r="B82">
        <v>-0.1025084195781327</v>
      </c>
      <c r="C82">
        <v>0.1025084195781327</v>
      </c>
      <c r="D82">
        <v>-0.32923692998146792</v>
      </c>
      <c r="E82">
        <v>0.32923692998146792</v>
      </c>
      <c r="F82">
        <v>1.736771501909769E-3</v>
      </c>
      <c r="G82">
        <v>101</v>
      </c>
      <c r="H82">
        <v>30</v>
      </c>
      <c r="I82">
        <v>95</v>
      </c>
    </row>
    <row r="83" spans="1:9" x14ac:dyDescent="0.15">
      <c r="A83">
        <v>82</v>
      </c>
      <c r="B83">
        <v>-0.1020761670832917</v>
      </c>
      <c r="C83">
        <v>0.1020761670832917</v>
      </c>
      <c r="D83">
        <v>-0.1132613375228106</v>
      </c>
      <c r="E83">
        <v>0.1132613375228106</v>
      </c>
      <c r="F83">
        <v>1.7221197122550809E-3</v>
      </c>
      <c r="G83">
        <v>106</v>
      </c>
      <c r="H83">
        <v>50</v>
      </c>
      <c r="I83">
        <v>98</v>
      </c>
    </row>
    <row r="84" spans="1:9" x14ac:dyDescent="0.15">
      <c r="A84">
        <v>83</v>
      </c>
      <c r="B84">
        <v>-0.1032880589149395</v>
      </c>
      <c r="C84">
        <v>0.1032880589149395</v>
      </c>
      <c r="D84">
        <v>-8.9773723633340768E-2</v>
      </c>
      <c r="E84">
        <v>8.9773723633340768E-2</v>
      </c>
      <c r="F84">
        <v>1.7981116058492781E-3</v>
      </c>
      <c r="G84">
        <v>90</v>
      </c>
      <c r="H84">
        <v>56</v>
      </c>
      <c r="I84">
        <v>76</v>
      </c>
    </row>
    <row r="85" spans="1:9" x14ac:dyDescent="0.15">
      <c r="A85">
        <v>84</v>
      </c>
      <c r="B85">
        <v>-0.1054293673987579</v>
      </c>
      <c r="C85">
        <v>0.1054293673987579</v>
      </c>
      <c r="D85">
        <v>-5.3389266963476047E-2</v>
      </c>
      <c r="E85">
        <v>5.3389266963476047E-2</v>
      </c>
      <c r="F85">
        <v>1.965430129761287E-3</v>
      </c>
      <c r="G85">
        <v>74</v>
      </c>
      <c r="H85">
        <v>61</v>
      </c>
      <c r="I85">
        <v>51</v>
      </c>
    </row>
    <row r="86" spans="1:9" x14ac:dyDescent="0.15">
      <c r="A86">
        <v>85</v>
      </c>
      <c r="B86">
        <v>-0.1065770942400986</v>
      </c>
      <c r="C86">
        <v>0.1065770942400986</v>
      </c>
      <c r="D86">
        <v>-3.5720754292731131E-2</v>
      </c>
      <c r="E86">
        <v>3.5720754292731131E-2</v>
      </c>
      <c r="F86">
        <v>2.0647281737760492E-3</v>
      </c>
      <c r="G86">
        <v>64</v>
      </c>
      <c r="H86">
        <v>74</v>
      </c>
      <c r="I86">
        <v>41</v>
      </c>
    </row>
    <row r="87" spans="1:9" x14ac:dyDescent="0.15">
      <c r="A87">
        <v>86</v>
      </c>
      <c r="B87">
        <v>-0.1074782660124034</v>
      </c>
      <c r="C87">
        <v>0.1074782660124034</v>
      </c>
      <c r="D87">
        <v>-2.6365111242033439E-2</v>
      </c>
      <c r="E87">
        <v>2.6365111242033439E-2</v>
      </c>
      <c r="F87">
        <v>2.136518921307035E-3</v>
      </c>
      <c r="G87">
        <v>57</v>
      </c>
      <c r="H87">
        <v>86</v>
      </c>
      <c r="I87">
        <v>36</v>
      </c>
    </row>
    <row r="88" spans="1:9" x14ac:dyDescent="0.15">
      <c r="A88">
        <v>87</v>
      </c>
      <c r="B88">
        <v>-0.1090315806544337</v>
      </c>
      <c r="C88">
        <v>0.1090315806544337</v>
      </c>
      <c r="D88">
        <v>-1.058982369150741E-2</v>
      </c>
      <c r="E88">
        <v>1.058982369150741E-2</v>
      </c>
      <c r="F88">
        <v>2.3139640167806081E-3</v>
      </c>
      <c r="G88">
        <v>50</v>
      </c>
      <c r="H88">
        <v>116</v>
      </c>
      <c r="I88">
        <v>19</v>
      </c>
    </row>
    <row r="89" spans="1:9" x14ac:dyDescent="0.15">
      <c r="A89">
        <v>88</v>
      </c>
      <c r="B89">
        <v>-0.107766990190248</v>
      </c>
      <c r="C89">
        <v>0.107766990190248</v>
      </c>
      <c r="D89">
        <v>-3.0751873698933629E-2</v>
      </c>
      <c r="E89">
        <v>3.0751873698933629E-2</v>
      </c>
      <c r="F89">
        <v>2.0983929024708929E-3</v>
      </c>
      <c r="G89">
        <v>55</v>
      </c>
      <c r="H89">
        <v>80</v>
      </c>
      <c r="I89">
        <v>40</v>
      </c>
    </row>
    <row r="90" spans="1:9" x14ac:dyDescent="0.15">
      <c r="A90">
        <v>89</v>
      </c>
      <c r="B90">
        <v>-0.1086071687474903</v>
      </c>
      <c r="C90">
        <v>0.1086071687474903</v>
      </c>
      <c r="D90">
        <v>-2.7283400186400471E-2</v>
      </c>
      <c r="E90">
        <v>2.7283400186400471E-2</v>
      </c>
      <c r="F90">
        <v>2.1266358072130512E-3</v>
      </c>
      <c r="G90">
        <v>51</v>
      </c>
      <c r="H90">
        <v>85</v>
      </c>
      <c r="I90">
        <v>37</v>
      </c>
    </row>
    <row r="91" spans="1:9" x14ac:dyDescent="0.15">
      <c r="A91">
        <v>90</v>
      </c>
      <c r="B91">
        <v>-0.1110120249971257</v>
      </c>
      <c r="C91">
        <v>0.1110120249971257</v>
      </c>
      <c r="D91">
        <v>-1.532788068256183E-2</v>
      </c>
      <c r="E91">
        <v>1.532788068256183E-2</v>
      </c>
      <c r="F91">
        <v>2.2907155289383541E-3</v>
      </c>
      <c r="G91">
        <v>44</v>
      </c>
      <c r="H91">
        <v>113</v>
      </c>
      <c r="I91">
        <v>21</v>
      </c>
    </row>
    <row r="92" spans="1:9" x14ac:dyDescent="0.15">
      <c r="A92">
        <v>91</v>
      </c>
      <c r="B92">
        <v>-0.1102685166801935</v>
      </c>
      <c r="C92">
        <v>0.1102685166801935</v>
      </c>
      <c r="D92">
        <v>-1.9705576516450111E-2</v>
      </c>
      <c r="E92">
        <v>1.9705576516450111E-2</v>
      </c>
      <c r="F92">
        <v>2.2243846816506442E-3</v>
      </c>
      <c r="G92">
        <v>47</v>
      </c>
      <c r="H92">
        <v>98</v>
      </c>
      <c r="I92">
        <v>28</v>
      </c>
    </row>
    <row r="93" spans="1:9" x14ac:dyDescent="0.15">
      <c r="A93">
        <v>92</v>
      </c>
      <c r="B93">
        <v>-0.1077730563372957</v>
      </c>
      <c r="C93">
        <v>0.1077730563372957</v>
      </c>
      <c r="D93">
        <v>-3.7671463292279238E-2</v>
      </c>
      <c r="E93">
        <v>3.7671463292279238E-2</v>
      </c>
      <c r="F93">
        <v>2.0502576938596279E-3</v>
      </c>
      <c r="G93">
        <v>54</v>
      </c>
      <c r="H93">
        <v>73</v>
      </c>
      <c r="I93">
        <v>43</v>
      </c>
    </row>
    <row r="94" spans="1:9" x14ac:dyDescent="0.15">
      <c r="A94">
        <v>93</v>
      </c>
      <c r="B94">
        <v>-0.1060405490065686</v>
      </c>
      <c r="C94">
        <v>0.1060405490065686</v>
      </c>
      <c r="D94">
        <v>-5.7595042833694619E-2</v>
      </c>
      <c r="E94">
        <v>5.7595042833694619E-2</v>
      </c>
      <c r="F94">
        <v>1.939594032308316E-3</v>
      </c>
      <c r="G94">
        <v>70</v>
      </c>
      <c r="H94">
        <v>60</v>
      </c>
      <c r="I94">
        <v>58</v>
      </c>
    </row>
    <row r="95" spans="1:9" x14ac:dyDescent="0.15">
      <c r="A95">
        <v>94</v>
      </c>
      <c r="B95">
        <v>-0.1045679654085778</v>
      </c>
      <c r="C95">
        <v>0.1045679654085778</v>
      </c>
      <c r="D95">
        <v>-7.4793227060482428E-2</v>
      </c>
      <c r="E95">
        <v>7.4793227060482428E-2</v>
      </c>
      <c r="F95">
        <v>1.856638176986057E-3</v>
      </c>
      <c r="G95">
        <v>79</v>
      </c>
      <c r="H95">
        <v>58</v>
      </c>
      <c r="I95">
        <v>66</v>
      </c>
    </row>
    <row r="96" spans="1:9" x14ac:dyDescent="0.15">
      <c r="A96">
        <v>95</v>
      </c>
      <c r="B96">
        <v>-0.1035148223935291</v>
      </c>
      <c r="C96">
        <v>0.1035148223935291</v>
      </c>
      <c r="D96">
        <v>-9.2022590606011187E-2</v>
      </c>
      <c r="E96">
        <v>9.2022590606011187E-2</v>
      </c>
      <c r="F96">
        <v>1.795166164405098E-3</v>
      </c>
      <c r="G96">
        <v>88</v>
      </c>
      <c r="H96">
        <v>54</v>
      </c>
      <c r="I96">
        <v>78</v>
      </c>
    </row>
    <row r="97" spans="1:9" x14ac:dyDescent="0.15">
      <c r="A97">
        <v>96</v>
      </c>
      <c r="B97">
        <v>-0.1023449714427079</v>
      </c>
      <c r="C97">
        <v>0.1023449714427079</v>
      </c>
      <c r="D97">
        <v>-0.11373794051247239</v>
      </c>
      <c r="E97">
        <v>0.11373794051247239</v>
      </c>
      <c r="F97">
        <v>1.7323629652852481E-3</v>
      </c>
      <c r="G97">
        <v>103</v>
      </c>
      <c r="H97">
        <v>49</v>
      </c>
      <c r="I97">
        <v>96</v>
      </c>
    </row>
    <row r="98" spans="1:9" x14ac:dyDescent="0.15">
      <c r="A98">
        <v>97</v>
      </c>
      <c r="B98">
        <v>-0.101091174634397</v>
      </c>
      <c r="C98">
        <v>0.101091174634397</v>
      </c>
      <c r="D98">
        <v>-0.15154393143561021</v>
      </c>
      <c r="E98">
        <v>0.15154393143561021</v>
      </c>
      <c r="F98">
        <v>1.671295090150741E-3</v>
      </c>
      <c r="G98">
        <v>108</v>
      </c>
      <c r="H98">
        <v>44</v>
      </c>
      <c r="I98">
        <v>111</v>
      </c>
    </row>
    <row r="99" spans="1:9" x14ac:dyDescent="0.15">
      <c r="A99">
        <v>98</v>
      </c>
      <c r="B99">
        <v>-0.10124505545525959</v>
      </c>
      <c r="C99">
        <v>0.10124505545525959</v>
      </c>
      <c r="D99">
        <v>-0.13935688365079929</v>
      </c>
      <c r="E99">
        <v>0.13935688365079929</v>
      </c>
      <c r="F99">
        <v>1.688424968442837E-3</v>
      </c>
      <c r="G99">
        <v>107</v>
      </c>
      <c r="H99">
        <v>45</v>
      </c>
      <c r="I99">
        <v>108</v>
      </c>
    </row>
    <row r="100" spans="1:9" x14ac:dyDescent="0.15">
      <c r="A100">
        <v>99</v>
      </c>
      <c r="B100">
        <v>-0.105063758350372</v>
      </c>
      <c r="C100">
        <v>0.105063758350372</v>
      </c>
      <c r="D100">
        <v>-7.411629825627708E-2</v>
      </c>
      <c r="E100">
        <v>7.411629825627708E-2</v>
      </c>
      <c r="F100">
        <v>1.8155846495910689E-3</v>
      </c>
      <c r="G100">
        <v>75</v>
      </c>
      <c r="H100">
        <v>59</v>
      </c>
      <c r="I100">
        <v>72</v>
      </c>
    </row>
    <row r="101" spans="1:9" x14ac:dyDescent="0.15">
      <c r="A101">
        <v>100</v>
      </c>
      <c r="B101">
        <v>-0.1055266845613456</v>
      </c>
      <c r="C101">
        <v>0.1055266845613456</v>
      </c>
      <c r="D101">
        <v>-5.3028744151882093E-2</v>
      </c>
      <c r="E101">
        <v>5.3028744151882093E-2</v>
      </c>
      <c r="F101">
        <v>1.929614857185207E-3</v>
      </c>
      <c r="G101">
        <v>72</v>
      </c>
      <c r="H101">
        <v>62</v>
      </c>
      <c r="I101">
        <v>61</v>
      </c>
    </row>
    <row r="102" spans="1:9" x14ac:dyDescent="0.15">
      <c r="A102">
        <v>101</v>
      </c>
      <c r="B102">
        <v>-0.1064851062797756</v>
      </c>
      <c r="C102">
        <v>0.1064851062797756</v>
      </c>
      <c r="D102">
        <v>-4.6438846686795772E-2</v>
      </c>
      <c r="E102">
        <v>4.6438846686795772E-2</v>
      </c>
      <c r="F102">
        <v>1.9777359938398871E-3</v>
      </c>
      <c r="G102">
        <v>66</v>
      </c>
      <c r="H102">
        <v>66</v>
      </c>
      <c r="I102">
        <v>49</v>
      </c>
    </row>
    <row r="103" spans="1:9" x14ac:dyDescent="0.15">
      <c r="A103">
        <v>102</v>
      </c>
      <c r="B103">
        <v>-0.107342258759315</v>
      </c>
      <c r="C103">
        <v>0.107342258759315</v>
      </c>
      <c r="D103">
        <v>-4.0590443231251681E-2</v>
      </c>
      <c r="E103">
        <v>4.0590443231251681E-2</v>
      </c>
      <c r="F103">
        <v>2.025087645137797E-3</v>
      </c>
      <c r="G103">
        <v>58</v>
      </c>
      <c r="H103">
        <v>70</v>
      </c>
      <c r="I103">
        <v>45</v>
      </c>
    </row>
    <row r="104" spans="1:9" x14ac:dyDescent="0.15">
      <c r="A104">
        <v>103</v>
      </c>
      <c r="B104">
        <v>-0.1065334493977064</v>
      </c>
      <c r="C104">
        <v>0.1065334493977064</v>
      </c>
      <c r="D104">
        <v>-3.1325097326844492E-2</v>
      </c>
      <c r="E104">
        <v>3.1325097326844492E-2</v>
      </c>
      <c r="F104">
        <v>2.0549382222436242E-3</v>
      </c>
      <c r="G104">
        <v>65</v>
      </c>
      <c r="H104">
        <v>78</v>
      </c>
      <c r="I104">
        <v>42</v>
      </c>
    </row>
    <row r="105" spans="1:9" x14ac:dyDescent="0.15">
      <c r="A105">
        <v>104</v>
      </c>
      <c r="B105">
        <v>-0.1067741207059536</v>
      </c>
      <c r="C105">
        <v>0.1067741207059536</v>
      </c>
      <c r="D105">
        <v>-2.4929519245902809E-2</v>
      </c>
      <c r="E105">
        <v>2.4929519245902809E-2</v>
      </c>
      <c r="F105">
        <v>2.1175263147178158E-3</v>
      </c>
      <c r="G105">
        <v>63</v>
      </c>
      <c r="H105">
        <v>89</v>
      </c>
      <c r="I105">
        <v>39</v>
      </c>
    </row>
    <row r="106" spans="1:9" x14ac:dyDescent="0.15">
      <c r="A106">
        <v>105</v>
      </c>
      <c r="B106">
        <v>-0.10678567806200839</v>
      </c>
      <c r="C106">
        <v>0.10678567806200839</v>
      </c>
      <c r="D106">
        <v>-2.2436829730448429E-2</v>
      </c>
      <c r="E106">
        <v>2.2436829730448429E-2</v>
      </c>
      <c r="F106">
        <v>2.143844487701334E-3</v>
      </c>
      <c r="G106">
        <v>62</v>
      </c>
      <c r="H106">
        <v>91</v>
      </c>
      <c r="I106">
        <v>35</v>
      </c>
    </row>
    <row r="107" spans="1:9" x14ac:dyDescent="0.15">
      <c r="A107">
        <v>106</v>
      </c>
      <c r="B107">
        <v>-0.10642549742902579</v>
      </c>
      <c r="C107">
        <v>0.10642549742902579</v>
      </c>
      <c r="D107">
        <v>-2.6143249440442651E-2</v>
      </c>
      <c r="E107">
        <v>2.6143249440442651E-2</v>
      </c>
      <c r="F107">
        <v>2.1208559859400848E-3</v>
      </c>
      <c r="G107">
        <v>68</v>
      </c>
      <c r="H107">
        <v>87</v>
      </c>
      <c r="I107">
        <v>38</v>
      </c>
    </row>
    <row r="108" spans="1:9" x14ac:dyDescent="0.15">
      <c r="A108">
        <v>107</v>
      </c>
      <c r="B108">
        <v>-0.1064311299754671</v>
      </c>
      <c r="C108">
        <v>0.1064311299754671</v>
      </c>
      <c r="D108">
        <v>-1.705823951538479E-2</v>
      </c>
      <c r="E108">
        <v>1.705823951538479E-2</v>
      </c>
      <c r="F108">
        <v>2.2244898827193148E-3</v>
      </c>
      <c r="G108">
        <v>67</v>
      </c>
      <c r="H108">
        <v>109</v>
      </c>
      <c r="I108">
        <v>27</v>
      </c>
    </row>
    <row r="109" spans="1:9" x14ac:dyDescent="0.15">
      <c r="A109">
        <v>108</v>
      </c>
      <c r="B109">
        <v>-0.1071184071337408</v>
      </c>
      <c r="C109">
        <v>0.1071184071337408</v>
      </c>
      <c r="D109">
        <v>-1.840179462668699E-2</v>
      </c>
      <c r="E109">
        <v>1.840179462668699E-2</v>
      </c>
      <c r="F109">
        <v>2.1947343257624958E-3</v>
      </c>
      <c r="G109">
        <v>61</v>
      </c>
      <c r="H109">
        <v>103</v>
      </c>
      <c r="I109">
        <v>32</v>
      </c>
    </row>
    <row r="110" spans="1:9" x14ac:dyDescent="0.15">
      <c r="A110">
        <v>109</v>
      </c>
      <c r="B110">
        <v>-0.10727193355960481</v>
      </c>
      <c r="C110">
        <v>0.10727193355960481</v>
      </c>
      <c r="D110">
        <v>-1.6748750373652432E-2</v>
      </c>
      <c r="E110">
        <v>1.6748750373652432E-2</v>
      </c>
      <c r="F110">
        <v>2.220574983548261E-3</v>
      </c>
      <c r="G110">
        <v>60</v>
      </c>
      <c r="H110">
        <v>110</v>
      </c>
      <c r="I110">
        <v>29</v>
      </c>
    </row>
    <row r="111" spans="1:9" x14ac:dyDescent="0.15">
      <c r="A111">
        <v>110</v>
      </c>
      <c r="B111">
        <v>-0.1077256611047024</v>
      </c>
      <c r="C111">
        <v>0.1077256611047024</v>
      </c>
      <c r="D111">
        <v>-1.2375070787498509E-2</v>
      </c>
      <c r="E111">
        <v>1.2375070787498509E-2</v>
      </c>
      <c r="F111">
        <v>2.301979154612823E-3</v>
      </c>
      <c r="G111">
        <v>56</v>
      </c>
      <c r="H111">
        <v>115</v>
      </c>
      <c r="I111">
        <v>20</v>
      </c>
    </row>
    <row r="112" spans="1:9" x14ac:dyDescent="0.15">
      <c r="A112">
        <v>111</v>
      </c>
      <c r="B112">
        <v>-0.1079443669827137</v>
      </c>
      <c r="C112">
        <v>0.1079443669827137</v>
      </c>
      <c r="D112">
        <v>-7.9108125285420276E-3</v>
      </c>
      <c r="E112">
        <v>7.9108125285420276E-3</v>
      </c>
      <c r="F112">
        <v>2.386345670738406E-3</v>
      </c>
      <c r="G112">
        <v>53</v>
      </c>
      <c r="H112">
        <v>118</v>
      </c>
      <c r="I112">
        <v>16</v>
      </c>
    </row>
    <row r="113" spans="1:9" x14ac:dyDescent="0.15">
      <c r="A113">
        <v>112</v>
      </c>
      <c r="B113">
        <v>-0.108033409849892</v>
      </c>
      <c r="C113">
        <v>0.108033409849892</v>
      </c>
      <c r="D113">
        <v>-9.4872869921837667E-3</v>
      </c>
      <c r="E113">
        <v>9.4872869921837667E-3</v>
      </c>
      <c r="F113">
        <v>2.3627110561786581E-3</v>
      </c>
      <c r="G113">
        <v>52</v>
      </c>
      <c r="H113">
        <v>117</v>
      </c>
      <c r="I113">
        <v>18</v>
      </c>
    </row>
    <row r="114" spans="1:9" x14ac:dyDescent="0.15">
      <c r="A114">
        <v>113</v>
      </c>
      <c r="B114">
        <v>-0.1043282214276296</v>
      </c>
      <c r="C114">
        <v>0.1043282214276296</v>
      </c>
      <c r="D114">
        <v>-3.8886022133343398E-2</v>
      </c>
      <c r="E114">
        <v>3.8886022133343398E-2</v>
      </c>
      <c r="F114">
        <v>1.706513918889636E-3</v>
      </c>
      <c r="G114">
        <v>82</v>
      </c>
      <c r="H114">
        <v>72</v>
      </c>
      <c r="I114">
        <v>102</v>
      </c>
    </row>
    <row r="115" spans="1:9" x14ac:dyDescent="0.15">
      <c r="A115">
        <v>114</v>
      </c>
      <c r="B115">
        <v>-0.10299561940118521</v>
      </c>
      <c r="C115">
        <v>0.10299561940118521</v>
      </c>
      <c r="D115">
        <v>-1.7786636403799509E-2</v>
      </c>
      <c r="E115">
        <v>1.7786636403799509E-2</v>
      </c>
      <c r="F115">
        <v>1.7815743759878259E-3</v>
      </c>
      <c r="G115">
        <v>98</v>
      </c>
      <c r="H115">
        <v>106</v>
      </c>
      <c r="I115">
        <v>83</v>
      </c>
    </row>
    <row r="116" spans="1:9" x14ac:dyDescent="0.15">
      <c r="A116">
        <v>115</v>
      </c>
      <c r="B116">
        <v>-0.1030024476885186</v>
      </c>
      <c r="C116">
        <v>0.1030024476885186</v>
      </c>
      <c r="D116">
        <v>-1.7600747311950729E-2</v>
      </c>
      <c r="E116">
        <v>1.7600747311950729E-2</v>
      </c>
      <c r="F116">
        <v>1.782404078102446E-3</v>
      </c>
      <c r="G116">
        <v>97</v>
      </c>
      <c r="H116">
        <v>107</v>
      </c>
      <c r="I116">
        <v>82</v>
      </c>
    </row>
    <row r="117" spans="1:9" x14ac:dyDescent="0.15">
      <c r="A117">
        <v>116</v>
      </c>
      <c r="B117">
        <v>-0.104907135635788</v>
      </c>
      <c r="C117">
        <v>0.104907135635788</v>
      </c>
      <c r="D117">
        <v>-0.40384819786958448</v>
      </c>
      <c r="E117">
        <v>0.40384819786958448</v>
      </c>
      <c r="F117">
        <v>1.8371929241583259E-3</v>
      </c>
      <c r="G117">
        <v>77</v>
      </c>
      <c r="H117">
        <v>28</v>
      </c>
      <c r="I117">
        <v>68</v>
      </c>
    </row>
    <row r="118" spans="1:9" x14ac:dyDescent="0.15">
      <c r="A118">
        <v>117</v>
      </c>
      <c r="B118">
        <v>-0.1144410445591946</v>
      </c>
      <c r="C118">
        <v>0.1144410445591946</v>
      </c>
      <c r="D118">
        <v>-2.0522293529596791E-2</v>
      </c>
      <c r="E118">
        <v>2.0522293529596791E-2</v>
      </c>
      <c r="F118">
        <v>1.9330513935611371E-3</v>
      </c>
      <c r="G118">
        <v>39</v>
      </c>
      <c r="H118">
        <v>95</v>
      </c>
      <c r="I118">
        <v>59</v>
      </c>
    </row>
    <row r="119" spans="1:9" x14ac:dyDescent="0.15">
      <c r="A119">
        <v>118</v>
      </c>
      <c r="B119">
        <v>-0.1094011242065247</v>
      </c>
      <c r="C119">
        <v>0.1094011242065247</v>
      </c>
      <c r="D119">
        <v>-0.1257933864066387</v>
      </c>
      <c r="E119">
        <v>0.1257933864066387</v>
      </c>
      <c r="F119">
        <v>1.7578181488835281E-3</v>
      </c>
      <c r="G119">
        <v>49</v>
      </c>
      <c r="H119">
        <v>47</v>
      </c>
      <c r="I119">
        <v>92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9"/>
  <sheetViews>
    <sheetView workbookViewId="0">
      <pane ySplit="1" topLeftCell="A89" activePane="bottomLeft" state="frozen"/>
      <selection pane="bottomLeft" activeCell="F26" sqref="F26"/>
    </sheetView>
  </sheetViews>
  <sheetFormatPr defaultRowHeight="13.5" x14ac:dyDescent="0.15"/>
  <cols>
    <col min="1" max="13" width="12" customWidth="1"/>
  </cols>
  <sheetData>
    <row r="1" spans="1:13" x14ac:dyDescent="0.15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</row>
    <row r="2" spans="1:13" x14ac:dyDescent="0.15">
      <c r="A2">
        <v>1</v>
      </c>
      <c r="B2">
        <v>2</v>
      </c>
      <c r="C2">
        <v>51</v>
      </c>
      <c r="D2">
        <v>27</v>
      </c>
      <c r="E2">
        <v>0</v>
      </c>
      <c r="F2">
        <v>0</v>
      </c>
      <c r="G2">
        <v>1</v>
      </c>
      <c r="H2">
        <v>0.95499999999999996</v>
      </c>
      <c r="I2">
        <v>10.67</v>
      </c>
      <c r="J2">
        <v>138</v>
      </c>
      <c r="K2">
        <v>1</v>
      </c>
      <c r="L2">
        <v>1.06</v>
      </c>
      <c r="M2">
        <v>0.94</v>
      </c>
    </row>
    <row r="3" spans="1:13" x14ac:dyDescent="0.15">
      <c r="A3">
        <v>2</v>
      </c>
      <c r="B3">
        <v>1</v>
      </c>
      <c r="C3">
        <v>20</v>
      </c>
      <c r="D3">
        <v>9</v>
      </c>
      <c r="E3">
        <v>0</v>
      </c>
      <c r="F3">
        <v>0</v>
      </c>
      <c r="G3">
        <v>1</v>
      </c>
      <c r="H3">
        <v>0.97099999999999997</v>
      </c>
      <c r="I3">
        <v>11.22</v>
      </c>
      <c r="J3">
        <v>138</v>
      </c>
      <c r="K3">
        <v>1</v>
      </c>
      <c r="L3">
        <v>1.06</v>
      </c>
      <c r="M3">
        <v>0.94</v>
      </c>
    </row>
    <row r="4" spans="1:13" x14ac:dyDescent="0.15">
      <c r="A4">
        <v>3</v>
      </c>
      <c r="B4">
        <v>1</v>
      </c>
      <c r="C4">
        <v>39</v>
      </c>
      <c r="D4">
        <v>10</v>
      </c>
      <c r="E4">
        <v>0</v>
      </c>
      <c r="F4">
        <v>0</v>
      </c>
      <c r="G4">
        <v>1</v>
      </c>
      <c r="H4">
        <v>0.96799999999999997</v>
      </c>
      <c r="I4">
        <v>11.56</v>
      </c>
      <c r="J4">
        <v>138</v>
      </c>
      <c r="K4">
        <v>1</v>
      </c>
      <c r="L4">
        <v>1.06</v>
      </c>
      <c r="M4">
        <v>0.94</v>
      </c>
    </row>
    <row r="5" spans="1:13" x14ac:dyDescent="0.15">
      <c r="A5">
        <v>4</v>
      </c>
      <c r="B5">
        <v>2</v>
      </c>
      <c r="C5">
        <v>39</v>
      </c>
      <c r="D5">
        <v>12</v>
      </c>
      <c r="E5">
        <v>0</v>
      </c>
      <c r="F5">
        <v>0</v>
      </c>
      <c r="G5">
        <v>1</v>
      </c>
      <c r="H5">
        <v>0.998</v>
      </c>
      <c r="I5">
        <v>15.28</v>
      </c>
      <c r="J5">
        <v>138</v>
      </c>
      <c r="K5">
        <v>1</v>
      </c>
      <c r="L5">
        <v>1.06</v>
      </c>
      <c r="M5">
        <v>0.94</v>
      </c>
    </row>
    <row r="6" spans="1:13" x14ac:dyDescent="0.15">
      <c r="A6">
        <v>5</v>
      </c>
      <c r="B6">
        <v>1</v>
      </c>
      <c r="C6">
        <v>0</v>
      </c>
      <c r="D6">
        <v>0</v>
      </c>
      <c r="E6">
        <v>0</v>
      </c>
      <c r="F6">
        <v>-40</v>
      </c>
      <c r="G6">
        <v>1</v>
      </c>
      <c r="H6">
        <v>1.002</v>
      </c>
      <c r="I6">
        <v>15.73</v>
      </c>
      <c r="J6">
        <v>138</v>
      </c>
      <c r="K6">
        <v>1</v>
      </c>
      <c r="L6">
        <v>1.06</v>
      </c>
      <c r="M6">
        <v>0.94</v>
      </c>
    </row>
    <row r="7" spans="1:13" x14ac:dyDescent="0.15">
      <c r="A7">
        <v>6</v>
      </c>
      <c r="B7">
        <v>2</v>
      </c>
      <c r="C7">
        <v>52</v>
      </c>
      <c r="D7">
        <v>22</v>
      </c>
      <c r="E7">
        <v>0</v>
      </c>
      <c r="F7">
        <v>0</v>
      </c>
      <c r="G7">
        <v>1</v>
      </c>
      <c r="H7">
        <v>0.99</v>
      </c>
      <c r="I7">
        <v>13</v>
      </c>
      <c r="J7">
        <v>138</v>
      </c>
      <c r="K7">
        <v>1</v>
      </c>
      <c r="L7">
        <v>1.06</v>
      </c>
      <c r="M7">
        <v>0.94</v>
      </c>
    </row>
    <row r="8" spans="1:13" x14ac:dyDescent="0.15">
      <c r="A8">
        <v>7</v>
      </c>
      <c r="B8">
        <v>1</v>
      </c>
      <c r="C8">
        <v>19</v>
      </c>
      <c r="D8">
        <v>2</v>
      </c>
      <c r="E8">
        <v>0</v>
      </c>
      <c r="F8">
        <v>0</v>
      </c>
      <c r="G8">
        <v>1</v>
      </c>
      <c r="H8">
        <v>0.98899999999999999</v>
      </c>
      <c r="I8">
        <v>12.56</v>
      </c>
      <c r="J8">
        <v>138</v>
      </c>
      <c r="K8">
        <v>1</v>
      </c>
      <c r="L8">
        <v>1.06</v>
      </c>
      <c r="M8">
        <v>0.94</v>
      </c>
    </row>
    <row r="9" spans="1:13" x14ac:dyDescent="0.15">
      <c r="A9">
        <v>8</v>
      </c>
      <c r="B9">
        <v>2</v>
      </c>
      <c r="C9">
        <v>28</v>
      </c>
      <c r="D9">
        <v>0</v>
      </c>
      <c r="E9">
        <v>0</v>
      </c>
      <c r="F9">
        <v>0</v>
      </c>
      <c r="G9">
        <v>1</v>
      </c>
      <c r="H9">
        <v>1.0149999999999999</v>
      </c>
      <c r="I9">
        <v>20.77</v>
      </c>
      <c r="J9">
        <v>345</v>
      </c>
      <c r="K9">
        <v>1</v>
      </c>
      <c r="L9">
        <v>1.06</v>
      </c>
      <c r="M9">
        <v>0.94</v>
      </c>
    </row>
    <row r="10" spans="1:13" x14ac:dyDescent="0.15">
      <c r="A10">
        <v>9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1.0429999999999999</v>
      </c>
      <c r="I10">
        <v>28.02</v>
      </c>
      <c r="J10">
        <v>345</v>
      </c>
      <c r="K10">
        <v>1</v>
      </c>
      <c r="L10">
        <v>1.06</v>
      </c>
      <c r="M10">
        <v>0.94</v>
      </c>
    </row>
    <row r="11" spans="1:13" x14ac:dyDescent="0.15">
      <c r="A11">
        <v>10</v>
      </c>
      <c r="B11">
        <v>2</v>
      </c>
      <c r="C11">
        <v>0</v>
      </c>
      <c r="D11">
        <v>0</v>
      </c>
      <c r="E11">
        <v>0</v>
      </c>
      <c r="F11">
        <v>0</v>
      </c>
      <c r="G11">
        <v>1</v>
      </c>
      <c r="H11">
        <v>1.05</v>
      </c>
      <c r="I11">
        <v>35.61</v>
      </c>
      <c r="J11">
        <v>345</v>
      </c>
      <c r="K11">
        <v>1</v>
      </c>
      <c r="L11">
        <v>1.06</v>
      </c>
      <c r="M11">
        <v>0.94</v>
      </c>
    </row>
    <row r="12" spans="1:13" x14ac:dyDescent="0.15">
      <c r="A12">
        <v>11</v>
      </c>
      <c r="B12">
        <v>1</v>
      </c>
      <c r="C12">
        <v>70</v>
      </c>
      <c r="D12">
        <v>23</v>
      </c>
      <c r="E12">
        <v>0</v>
      </c>
      <c r="F12">
        <v>0</v>
      </c>
      <c r="G12">
        <v>1</v>
      </c>
      <c r="H12">
        <v>0.98499999999999999</v>
      </c>
      <c r="I12">
        <v>12.72</v>
      </c>
      <c r="J12">
        <v>138</v>
      </c>
      <c r="K12">
        <v>1</v>
      </c>
      <c r="L12">
        <v>1.06</v>
      </c>
      <c r="M12">
        <v>0.94</v>
      </c>
    </row>
    <row r="13" spans="1:13" x14ac:dyDescent="0.15">
      <c r="A13">
        <v>12</v>
      </c>
      <c r="B13">
        <v>2</v>
      </c>
      <c r="C13">
        <v>47</v>
      </c>
      <c r="D13">
        <v>10</v>
      </c>
      <c r="E13">
        <v>0</v>
      </c>
      <c r="F13">
        <v>0</v>
      </c>
      <c r="G13">
        <v>1</v>
      </c>
      <c r="H13">
        <v>0.99</v>
      </c>
      <c r="I13">
        <v>12.2</v>
      </c>
      <c r="J13">
        <v>138</v>
      </c>
      <c r="K13">
        <v>1</v>
      </c>
      <c r="L13">
        <v>1.06</v>
      </c>
      <c r="M13">
        <v>0.94</v>
      </c>
    </row>
    <row r="14" spans="1:13" x14ac:dyDescent="0.15">
      <c r="A14">
        <v>13</v>
      </c>
      <c r="B14">
        <v>1</v>
      </c>
      <c r="C14">
        <v>34</v>
      </c>
      <c r="D14">
        <v>16</v>
      </c>
      <c r="E14">
        <v>0</v>
      </c>
      <c r="F14">
        <v>0</v>
      </c>
      <c r="G14">
        <v>1</v>
      </c>
      <c r="H14">
        <v>0.96799999999999997</v>
      </c>
      <c r="I14">
        <v>11.35</v>
      </c>
      <c r="J14">
        <v>138</v>
      </c>
      <c r="K14">
        <v>1</v>
      </c>
      <c r="L14">
        <v>1.06</v>
      </c>
      <c r="M14">
        <v>0.94</v>
      </c>
    </row>
    <row r="15" spans="1:13" x14ac:dyDescent="0.15">
      <c r="A15">
        <v>14</v>
      </c>
      <c r="B15">
        <v>1</v>
      </c>
      <c r="C15">
        <v>14</v>
      </c>
      <c r="D15">
        <v>1</v>
      </c>
      <c r="E15">
        <v>0</v>
      </c>
      <c r="F15">
        <v>0</v>
      </c>
      <c r="G15">
        <v>1</v>
      </c>
      <c r="H15">
        <v>0.98399999999999999</v>
      </c>
      <c r="I15">
        <v>11.5</v>
      </c>
      <c r="J15">
        <v>138</v>
      </c>
      <c r="K15">
        <v>1</v>
      </c>
      <c r="L15">
        <v>1.06</v>
      </c>
      <c r="M15">
        <v>0.94</v>
      </c>
    </row>
    <row r="16" spans="1:13" x14ac:dyDescent="0.15">
      <c r="A16">
        <v>15</v>
      </c>
      <c r="B16">
        <v>2</v>
      </c>
      <c r="C16">
        <v>90</v>
      </c>
      <c r="D16">
        <v>30</v>
      </c>
      <c r="E16">
        <v>0</v>
      </c>
      <c r="F16">
        <v>0</v>
      </c>
      <c r="G16">
        <v>1</v>
      </c>
      <c r="H16">
        <v>0.97</v>
      </c>
      <c r="I16">
        <v>11.23</v>
      </c>
      <c r="J16">
        <v>138</v>
      </c>
      <c r="K16">
        <v>1</v>
      </c>
      <c r="L16">
        <v>1.06</v>
      </c>
      <c r="M16">
        <v>0.94</v>
      </c>
    </row>
    <row r="17" spans="1:13" x14ac:dyDescent="0.15">
      <c r="A17">
        <v>16</v>
      </c>
      <c r="B17">
        <v>1</v>
      </c>
      <c r="C17">
        <v>25</v>
      </c>
      <c r="D17">
        <v>10</v>
      </c>
      <c r="E17">
        <v>0</v>
      </c>
      <c r="F17">
        <v>0</v>
      </c>
      <c r="G17">
        <v>1</v>
      </c>
      <c r="H17">
        <v>0.98399999999999999</v>
      </c>
      <c r="I17">
        <v>11.91</v>
      </c>
      <c r="J17">
        <v>138</v>
      </c>
      <c r="K17">
        <v>1</v>
      </c>
      <c r="L17">
        <v>1.06</v>
      </c>
      <c r="M17">
        <v>0.94</v>
      </c>
    </row>
    <row r="18" spans="1:13" x14ac:dyDescent="0.15">
      <c r="A18">
        <v>17</v>
      </c>
      <c r="B18">
        <v>1</v>
      </c>
      <c r="C18">
        <v>11</v>
      </c>
      <c r="D18">
        <v>3</v>
      </c>
      <c r="E18">
        <v>0</v>
      </c>
      <c r="F18">
        <v>0</v>
      </c>
      <c r="G18">
        <v>1</v>
      </c>
      <c r="H18">
        <v>0.995</v>
      </c>
      <c r="I18">
        <v>13.74</v>
      </c>
      <c r="J18">
        <v>138</v>
      </c>
      <c r="K18">
        <v>1</v>
      </c>
      <c r="L18">
        <v>1.06</v>
      </c>
      <c r="M18">
        <v>0.94</v>
      </c>
    </row>
    <row r="19" spans="1:13" x14ac:dyDescent="0.15">
      <c r="A19">
        <v>18</v>
      </c>
      <c r="B19">
        <v>2</v>
      </c>
      <c r="C19">
        <v>60</v>
      </c>
      <c r="D19">
        <v>34</v>
      </c>
      <c r="E19">
        <v>0</v>
      </c>
      <c r="F19">
        <v>0</v>
      </c>
      <c r="G19">
        <v>1</v>
      </c>
      <c r="H19">
        <v>0.97299999999999998</v>
      </c>
      <c r="I19">
        <v>11.53</v>
      </c>
      <c r="J19">
        <v>138</v>
      </c>
      <c r="K19">
        <v>1</v>
      </c>
      <c r="L19">
        <v>1.06</v>
      </c>
      <c r="M19">
        <v>0.94</v>
      </c>
    </row>
    <row r="20" spans="1:13" x14ac:dyDescent="0.15">
      <c r="A20">
        <v>19</v>
      </c>
      <c r="B20">
        <v>2</v>
      </c>
      <c r="C20">
        <v>45</v>
      </c>
      <c r="D20">
        <v>25</v>
      </c>
      <c r="E20">
        <v>0</v>
      </c>
      <c r="F20">
        <v>0</v>
      </c>
      <c r="G20">
        <v>1</v>
      </c>
      <c r="H20">
        <v>0.96299999999999997</v>
      </c>
      <c r="I20">
        <v>11.05</v>
      </c>
      <c r="J20">
        <v>138</v>
      </c>
      <c r="K20">
        <v>1</v>
      </c>
      <c r="L20">
        <v>1.06</v>
      </c>
      <c r="M20">
        <v>0.94</v>
      </c>
    </row>
    <row r="21" spans="1:13" x14ac:dyDescent="0.15">
      <c r="A21">
        <v>20</v>
      </c>
      <c r="B21">
        <v>1</v>
      </c>
      <c r="C21">
        <v>18</v>
      </c>
      <c r="D21">
        <v>3</v>
      </c>
      <c r="E21">
        <v>0</v>
      </c>
      <c r="F21">
        <v>0</v>
      </c>
      <c r="G21">
        <v>1</v>
      </c>
      <c r="H21">
        <v>0.95799999999999996</v>
      </c>
      <c r="I21">
        <v>11.93</v>
      </c>
      <c r="J21">
        <v>138</v>
      </c>
      <c r="K21">
        <v>1</v>
      </c>
      <c r="L21">
        <v>1.06</v>
      </c>
      <c r="M21">
        <v>0.94</v>
      </c>
    </row>
    <row r="22" spans="1:13" x14ac:dyDescent="0.15">
      <c r="A22">
        <v>21</v>
      </c>
      <c r="B22">
        <v>1</v>
      </c>
      <c r="C22">
        <v>14</v>
      </c>
      <c r="D22">
        <v>8</v>
      </c>
      <c r="E22">
        <v>0</v>
      </c>
      <c r="F22">
        <v>0</v>
      </c>
      <c r="G22">
        <v>1</v>
      </c>
      <c r="H22">
        <v>0.95899999999999996</v>
      </c>
      <c r="I22">
        <v>13.52</v>
      </c>
      <c r="J22">
        <v>138</v>
      </c>
      <c r="K22">
        <v>1</v>
      </c>
      <c r="L22">
        <v>1.06</v>
      </c>
      <c r="M22">
        <v>0.94</v>
      </c>
    </row>
    <row r="23" spans="1:13" x14ac:dyDescent="0.15">
      <c r="A23">
        <v>22</v>
      </c>
      <c r="B23">
        <v>1</v>
      </c>
      <c r="C23">
        <v>10</v>
      </c>
      <c r="D23">
        <v>5</v>
      </c>
      <c r="E23">
        <v>0</v>
      </c>
      <c r="F23">
        <v>0</v>
      </c>
      <c r="G23">
        <v>1</v>
      </c>
      <c r="H23">
        <v>0.97</v>
      </c>
      <c r="I23">
        <v>16.079999999999998</v>
      </c>
      <c r="J23">
        <v>138</v>
      </c>
      <c r="K23">
        <v>1</v>
      </c>
      <c r="L23">
        <v>1.06</v>
      </c>
      <c r="M23">
        <v>0.94</v>
      </c>
    </row>
    <row r="24" spans="1:13" x14ac:dyDescent="0.15">
      <c r="A24">
        <v>23</v>
      </c>
      <c r="B24">
        <v>1</v>
      </c>
      <c r="C24">
        <v>7</v>
      </c>
      <c r="D24">
        <v>3</v>
      </c>
      <c r="E24">
        <v>0</v>
      </c>
      <c r="F24">
        <v>0</v>
      </c>
      <c r="G24">
        <v>1</v>
      </c>
      <c r="H24">
        <v>1</v>
      </c>
      <c r="I24">
        <v>21</v>
      </c>
      <c r="J24">
        <v>138</v>
      </c>
      <c r="K24">
        <v>1</v>
      </c>
      <c r="L24">
        <v>1.06</v>
      </c>
      <c r="M24">
        <v>0.94</v>
      </c>
    </row>
    <row r="25" spans="1:13" x14ac:dyDescent="0.15">
      <c r="A25">
        <v>24</v>
      </c>
      <c r="B25">
        <v>2</v>
      </c>
      <c r="C25">
        <v>13</v>
      </c>
      <c r="D25">
        <v>0</v>
      </c>
      <c r="E25">
        <v>0</v>
      </c>
      <c r="F25">
        <v>0</v>
      </c>
      <c r="G25">
        <v>1</v>
      </c>
      <c r="H25">
        <v>0.99199999999999999</v>
      </c>
      <c r="I25">
        <v>20.89</v>
      </c>
      <c r="J25">
        <v>138</v>
      </c>
      <c r="K25">
        <v>1</v>
      </c>
      <c r="L25">
        <v>1.06</v>
      </c>
      <c r="M25">
        <v>0.94</v>
      </c>
    </row>
    <row r="26" spans="1:13" x14ac:dyDescent="0.15">
      <c r="A26">
        <v>25</v>
      </c>
      <c r="B26">
        <v>2</v>
      </c>
      <c r="C26">
        <v>0</v>
      </c>
      <c r="D26">
        <v>0</v>
      </c>
      <c r="E26">
        <v>0</v>
      </c>
      <c r="F26">
        <v>0</v>
      </c>
      <c r="G26">
        <v>1</v>
      </c>
      <c r="H26">
        <v>1.05</v>
      </c>
      <c r="I26">
        <v>27.93</v>
      </c>
      <c r="J26">
        <v>138</v>
      </c>
      <c r="K26">
        <v>1</v>
      </c>
      <c r="L26">
        <v>1.06</v>
      </c>
      <c r="M26">
        <v>0.94</v>
      </c>
    </row>
    <row r="27" spans="1:13" x14ac:dyDescent="0.15">
      <c r="A27">
        <v>26</v>
      </c>
      <c r="B27">
        <v>2</v>
      </c>
      <c r="C27">
        <v>0</v>
      </c>
      <c r="D27">
        <v>0</v>
      </c>
      <c r="E27">
        <v>0</v>
      </c>
      <c r="F27">
        <v>0</v>
      </c>
      <c r="G27">
        <v>1</v>
      </c>
      <c r="H27">
        <v>1.0149999999999999</v>
      </c>
      <c r="I27">
        <v>29.71</v>
      </c>
      <c r="J27">
        <v>345</v>
      </c>
      <c r="K27">
        <v>1</v>
      </c>
      <c r="L27">
        <v>1.06</v>
      </c>
      <c r="M27">
        <v>0.94</v>
      </c>
    </row>
    <row r="28" spans="1:13" x14ac:dyDescent="0.15">
      <c r="A28">
        <v>27</v>
      </c>
      <c r="B28">
        <v>2</v>
      </c>
      <c r="C28">
        <v>71</v>
      </c>
      <c r="D28">
        <v>13</v>
      </c>
      <c r="E28">
        <v>0</v>
      </c>
      <c r="F28">
        <v>0</v>
      </c>
      <c r="G28">
        <v>1</v>
      </c>
      <c r="H28">
        <v>0.96799999999999997</v>
      </c>
      <c r="I28">
        <v>15.35</v>
      </c>
      <c r="J28">
        <v>138</v>
      </c>
      <c r="K28">
        <v>1</v>
      </c>
      <c r="L28">
        <v>1.06</v>
      </c>
      <c r="M28">
        <v>0.94</v>
      </c>
    </row>
    <row r="29" spans="1:13" x14ac:dyDescent="0.15">
      <c r="A29">
        <v>28</v>
      </c>
      <c r="B29">
        <v>1</v>
      </c>
      <c r="C29">
        <v>17</v>
      </c>
      <c r="D29">
        <v>7</v>
      </c>
      <c r="E29">
        <v>0</v>
      </c>
      <c r="F29">
        <v>0</v>
      </c>
      <c r="G29">
        <v>1</v>
      </c>
      <c r="H29">
        <v>0.96199999999999997</v>
      </c>
      <c r="I29">
        <v>13.62</v>
      </c>
      <c r="J29">
        <v>138</v>
      </c>
      <c r="K29">
        <v>1</v>
      </c>
      <c r="L29">
        <v>1.06</v>
      </c>
      <c r="M29">
        <v>0.94</v>
      </c>
    </row>
    <row r="30" spans="1:13" x14ac:dyDescent="0.15">
      <c r="A30">
        <v>29</v>
      </c>
      <c r="B30">
        <v>1</v>
      </c>
      <c r="C30">
        <v>24</v>
      </c>
      <c r="D30">
        <v>4</v>
      </c>
      <c r="E30">
        <v>0</v>
      </c>
      <c r="F30">
        <v>0</v>
      </c>
      <c r="G30">
        <v>1</v>
      </c>
      <c r="H30">
        <v>0.96299999999999997</v>
      </c>
      <c r="I30">
        <v>12.63</v>
      </c>
      <c r="J30">
        <v>138</v>
      </c>
      <c r="K30">
        <v>1</v>
      </c>
      <c r="L30">
        <v>1.06</v>
      </c>
      <c r="M30">
        <v>0.94</v>
      </c>
    </row>
    <row r="31" spans="1:13" x14ac:dyDescent="0.15">
      <c r="A31">
        <v>30</v>
      </c>
      <c r="B31">
        <v>1</v>
      </c>
      <c r="C31">
        <v>0</v>
      </c>
      <c r="D31">
        <v>0</v>
      </c>
      <c r="E31">
        <v>0</v>
      </c>
      <c r="F31">
        <v>0</v>
      </c>
      <c r="G31">
        <v>1</v>
      </c>
      <c r="H31">
        <v>0.96799999999999997</v>
      </c>
      <c r="I31">
        <v>18.79</v>
      </c>
      <c r="J31">
        <v>345</v>
      </c>
      <c r="K31">
        <v>1</v>
      </c>
      <c r="L31">
        <v>1.06</v>
      </c>
      <c r="M31">
        <v>0.94</v>
      </c>
    </row>
    <row r="32" spans="1:13" x14ac:dyDescent="0.15">
      <c r="A32">
        <v>31</v>
      </c>
      <c r="B32">
        <v>2</v>
      </c>
      <c r="C32">
        <v>43</v>
      </c>
      <c r="D32">
        <v>27</v>
      </c>
      <c r="E32">
        <v>0</v>
      </c>
      <c r="F32">
        <v>0</v>
      </c>
      <c r="G32">
        <v>1</v>
      </c>
      <c r="H32">
        <v>0.96699999999999997</v>
      </c>
      <c r="I32">
        <v>12.75</v>
      </c>
      <c r="J32">
        <v>138</v>
      </c>
      <c r="K32">
        <v>1</v>
      </c>
      <c r="L32">
        <v>1.06</v>
      </c>
      <c r="M32">
        <v>0.94</v>
      </c>
    </row>
    <row r="33" spans="1:13" x14ac:dyDescent="0.15">
      <c r="A33">
        <v>32</v>
      </c>
      <c r="B33">
        <v>2</v>
      </c>
      <c r="C33">
        <v>59</v>
      </c>
      <c r="D33">
        <v>23</v>
      </c>
      <c r="E33">
        <v>0</v>
      </c>
      <c r="F33">
        <v>0</v>
      </c>
      <c r="G33">
        <v>1</v>
      </c>
      <c r="H33">
        <v>0.96399999999999997</v>
      </c>
      <c r="I33">
        <v>14.8</v>
      </c>
      <c r="J33">
        <v>138</v>
      </c>
      <c r="K33">
        <v>1</v>
      </c>
      <c r="L33">
        <v>1.06</v>
      </c>
      <c r="M33">
        <v>0.94</v>
      </c>
    </row>
    <row r="34" spans="1:13" x14ac:dyDescent="0.15">
      <c r="A34">
        <v>33</v>
      </c>
      <c r="B34">
        <v>1</v>
      </c>
      <c r="C34">
        <v>23</v>
      </c>
      <c r="D34">
        <v>9</v>
      </c>
      <c r="E34">
        <v>0</v>
      </c>
      <c r="F34">
        <v>0</v>
      </c>
      <c r="G34">
        <v>1</v>
      </c>
      <c r="H34">
        <v>0.97199999999999998</v>
      </c>
      <c r="I34">
        <v>10.63</v>
      </c>
      <c r="J34">
        <v>138</v>
      </c>
      <c r="K34">
        <v>1</v>
      </c>
      <c r="L34">
        <v>1.06</v>
      </c>
      <c r="M34">
        <v>0.94</v>
      </c>
    </row>
    <row r="35" spans="1:13" x14ac:dyDescent="0.15">
      <c r="A35">
        <v>34</v>
      </c>
      <c r="B35">
        <v>2</v>
      </c>
      <c r="C35">
        <v>59</v>
      </c>
      <c r="D35">
        <v>26</v>
      </c>
      <c r="E35">
        <v>0</v>
      </c>
      <c r="F35">
        <v>14</v>
      </c>
      <c r="G35">
        <v>1</v>
      </c>
      <c r="H35">
        <v>0.98599999999999999</v>
      </c>
      <c r="I35">
        <v>11.3</v>
      </c>
      <c r="J35">
        <v>138</v>
      </c>
      <c r="K35">
        <v>1</v>
      </c>
      <c r="L35">
        <v>1.06</v>
      </c>
      <c r="M35">
        <v>0.94</v>
      </c>
    </row>
    <row r="36" spans="1:13" x14ac:dyDescent="0.15">
      <c r="A36">
        <v>35</v>
      </c>
      <c r="B36">
        <v>1</v>
      </c>
      <c r="C36">
        <v>33</v>
      </c>
      <c r="D36">
        <v>9</v>
      </c>
      <c r="E36">
        <v>0</v>
      </c>
      <c r="F36">
        <v>0</v>
      </c>
      <c r="G36">
        <v>1</v>
      </c>
      <c r="H36">
        <v>0.98099999999999998</v>
      </c>
      <c r="I36">
        <v>10.87</v>
      </c>
      <c r="J36">
        <v>138</v>
      </c>
      <c r="K36">
        <v>1</v>
      </c>
      <c r="L36">
        <v>1.06</v>
      </c>
      <c r="M36">
        <v>0.94</v>
      </c>
    </row>
    <row r="37" spans="1:13" x14ac:dyDescent="0.15">
      <c r="A37">
        <v>36</v>
      </c>
      <c r="B37">
        <v>2</v>
      </c>
      <c r="C37">
        <v>31</v>
      </c>
      <c r="D37">
        <v>17</v>
      </c>
      <c r="E37">
        <v>0</v>
      </c>
      <c r="F37">
        <v>0</v>
      </c>
      <c r="G37">
        <v>1</v>
      </c>
      <c r="H37">
        <v>0.98</v>
      </c>
      <c r="I37">
        <v>10.87</v>
      </c>
      <c r="J37">
        <v>138</v>
      </c>
      <c r="K37">
        <v>1</v>
      </c>
      <c r="L37">
        <v>1.06</v>
      </c>
      <c r="M37">
        <v>0.94</v>
      </c>
    </row>
    <row r="38" spans="1:13" x14ac:dyDescent="0.15">
      <c r="A38">
        <v>37</v>
      </c>
      <c r="B38">
        <v>1</v>
      </c>
      <c r="C38">
        <v>0</v>
      </c>
      <c r="D38">
        <v>0</v>
      </c>
      <c r="E38">
        <v>0</v>
      </c>
      <c r="F38">
        <v>-25</v>
      </c>
      <c r="G38">
        <v>1</v>
      </c>
      <c r="H38">
        <v>0.99199999999999999</v>
      </c>
      <c r="I38">
        <v>11.77</v>
      </c>
      <c r="J38">
        <v>138</v>
      </c>
      <c r="K38">
        <v>1</v>
      </c>
      <c r="L38">
        <v>1.06</v>
      </c>
      <c r="M38">
        <v>0.94</v>
      </c>
    </row>
    <row r="39" spans="1:13" x14ac:dyDescent="0.15">
      <c r="A39">
        <v>38</v>
      </c>
      <c r="B39">
        <v>1</v>
      </c>
      <c r="C39">
        <v>0</v>
      </c>
      <c r="D39">
        <v>0</v>
      </c>
      <c r="E39">
        <v>0</v>
      </c>
      <c r="F39">
        <v>0</v>
      </c>
      <c r="G39">
        <v>1</v>
      </c>
      <c r="H39">
        <v>0.96199999999999997</v>
      </c>
      <c r="I39">
        <v>16.91</v>
      </c>
      <c r="J39">
        <v>345</v>
      </c>
      <c r="K39">
        <v>1</v>
      </c>
      <c r="L39">
        <v>1.06</v>
      </c>
      <c r="M39">
        <v>0.94</v>
      </c>
    </row>
    <row r="40" spans="1:13" x14ac:dyDescent="0.15">
      <c r="A40">
        <v>39</v>
      </c>
      <c r="B40">
        <v>1</v>
      </c>
      <c r="C40">
        <v>27</v>
      </c>
      <c r="D40">
        <v>11</v>
      </c>
      <c r="E40">
        <v>0</v>
      </c>
      <c r="F40">
        <v>0</v>
      </c>
      <c r="G40">
        <v>1</v>
      </c>
      <c r="H40">
        <v>0.97</v>
      </c>
      <c r="I40">
        <v>8.41</v>
      </c>
      <c r="J40">
        <v>138</v>
      </c>
      <c r="K40">
        <v>1</v>
      </c>
      <c r="L40">
        <v>1.06</v>
      </c>
      <c r="M40">
        <v>0.94</v>
      </c>
    </row>
    <row r="41" spans="1:13" x14ac:dyDescent="0.15">
      <c r="A41">
        <v>40</v>
      </c>
      <c r="B41">
        <v>2</v>
      </c>
      <c r="C41">
        <v>66</v>
      </c>
      <c r="D41">
        <v>23</v>
      </c>
      <c r="E41">
        <v>0</v>
      </c>
      <c r="F41">
        <v>0</v>
      </c>
      <c r="G41">
        <v>1</v>
      </c>
      <c r="H41">
        <v>0.97</v>
      </c>
      <c r="I41">
        <v>7.35</v>
      </c>
      <c r="J41">
        <v>138</v>
      </c>
      <c r="K41">
        <v>1</v>
      </c>
      <c r="L41">
        <v>1.06</v>
      </c>
      <c r="M41">
        <v>0.94</v>
      </c>
    </row>
    <row r="42" spans="1:13" x14ac:dyDescent="0.15">
      <c r="A42">
        <v>41</v>
      </c>
      <c r="B42">
        <v>1</v>
      </c>
      <c r="C42">
        <v>37</v>
      </c>
      <c r="D42">
        <v>10</v>
      </c>
      <c r="E42">
        <v>0</v>
      </c>
      <c r="F42">
        <v>0</v>
      </c>
      <c r="G42">
        <v>1</v>
      </c>
      <c r="H42">
        <v>0.96699999999999997</v>
      </c>
      <c r="I42">
        <v>6.92</v>
      </c>
      <c r="J42">
        <v>138</v>
      </c>
      <c r="K42">
        <v>1</v>
      </c>
      <c r="L42">
        <v>1.06</v>
      </c>
      <c r="M42">
        <v>0.94</v>
      </c>
    </row>
    <row r="43" spans="1:13" x14ac:dyDescent="0.15">
      <c r="A43">
        <v>42</v>
      </c>
      <c r="B43">
        <v>2</v>
      </c>
      <c r="C43">
        <v>96</v>
      </c>
      <c r="D43">
        <v>23</v>
      </c>
      <c r="E43">
        <v>0</v>
      </c>
      <c r="F43">
        <v>0</v>
      </c>
      <c r="G43">
        <v>1</v>
      </c>
      <c r="H43">
        <v>0.98499999999999999</v>
      </c>
      <c r="I43">
        <v>8.5299999999999994</v>
      </c>
      <c r="J43">
        <v>138</v>
      </c>
      <c r="K43">
        <v>1</v>
      </c>
      <c r="L43">
        <v>1.06</v>
      </c>
      <c r="M43">
        <v>0.94</v>
      </c>
    </row>
    <row r="44" spans="1:13" x14ac:dyDescent="0.15">
      <c r="A44">
        <v>43</v>
      </c>
      <c r="B44">
        <v>1</v>
      </c>
      <c r="C44">
        <v>18</v>
      </c>
      <c r="D44">
        <v>7</v>
      </c>
      <c r="E44">
        <v>0</v>
      </c>
      <c r="F44">
        <v>0</v>
      </c>
      <c r="G44">
        <v>1</v>
      </c>
      <c r="H44">
        <v>0.97799999999999998</v>
      </c>
      <c r="I44">
        <v>11.28</v>
      </c>
      <c r="J44">
        <v>138</v>
      </c>
      <c r="K44">
        <v>1</v>
      </c>
      <c r="L44">
        <v>1.06</v>
      </c>
      <c r="M44">
        <v>0.94</v>
      </c>
    </row>
    <row r="45" spans="1:13" x14ac:dyDescent="0.15">
      <c r="A45">
        <v>44</v>
      </c>
      <c r="B45">
        <v>1</v>
      </c>
      <c r="C45">
        <v>16</v>
      </c>
      <c r="D45">
        <v>8</v>
      </c>
      <c r="E45">
        <v>0</v>
      </c>
      <c r="F45">
        <v>10</v>
      </c>
      <c r="G45">
        <v>1</v>
      </c>
      <c r="H45">
        <v>0.98499999999999999</v>
      </c>
      <c r="I45">
        <v>13.82</v>
      </c>
      <c r="J45">
        <v>138</v>
      </c>
      <c r="K45">
        <v>1</v>
      </c>
      <c r="L45">
        <v>1.06</v>
      </c>
      <c r="M45">
        <v>0.94</v>
      </c>
    </row>
    <row r="46" spans="1:13" x14ac:dyDescent="0.15">
      <c r="A46">
        <v>45</v>
      </c>
      <c r="B46">
        <v>1</v>
      </c>
      <c r="C46">
        <v>53</v>
      </c>
      <c r="D46">
        <v>22</v>
      </c>
      <c r="E46">
        <v>0</v>
      </c>
      <c r="F46">
        <v>10</v>
      </c>
      <c r="G46">
        <v>1</v>
      </c>
      <c r="H46">
        <v>0.98699999999999999</v>
      </c>
      <c r="I46">
        <v>15.67</v>
      </c>
      <c r="J46">
        <v>138</v>
      </c>
      <c r="K46">
        <v>1</v>
      </c>
      <c r="L46">
        <v>1.06</v>
      </c>
      <c r="M46">
        <v>0.94</v>
      </c>
    </row>
    <row r="47" spans="1:13" x14ac:dyDescent="0.15">
      <c r="A47">
        <v>46</v>
      </c>
      <c r="B47">
        <v>2</v>
      </c>
      <c r="C47">
        <v>28</v>
      </c>
      <c r="D47">
        <v>10</v>
      </c>
      <c r="E47">
        <v>0</v>
      </c>
      <c r="F47">
        <v>10</v>
      </c>
      <c r="G47">
        <v>1</v>
      </c>
      <c r="H47">
        <v>1.0049999999999999</v>
      </c>
      <c r="I47">
        <v>18.489999999999998</v>
      </c>
      <c r="J47">
        <v>138</v>
      </c>
      <c r="K47">
        <v>1</v>
      </c>
      <c r="L47">
        <v>1.06</v>
      </c>
      <c r="M47">
        <v>0.94</v>
      </c>
    </row>
    <row r="48" spans="1:13" x14ac:dyDescent="0.15">
      <c r="A48">
        <v>47</v>
      </c>
      <c r="B48">
        <v>1</v>
      </c>
      <c r="C48">
        <v>34</v>
      </c>
      <c r="D48">
        <v>0</v>
      </c>
      <c r="E48">
        <v>0</v>
      </c>
      <c r="F48">
        <v>0</v>
      </c>
      <c r="G48">
        <v>1</v>
      </c>
      <c r="H48">
        <v>1.0169999999999999</v>
      </c>
      <c r="I48">
        <v>20.73</v>
      </c>
      <c r="J48">
        <v>138</v>
      </c>
      <c r="K48">
        <v>1</v>
      </c>
      <c r="L48">
        <v>1.06</v>
      </c>
      <c r="M48">
        <v>0.94</v>
      </c>
    </row>
    <row r="49" spans="1:13" x14ac:dyDescent="0.15">
      <c r="A49">
        <v>48</v>
      </c>
      <c r="B49">
        <v>1</v>
      </c>
      <c r="C49">
        <v>20</v>
      </c>
      <c r="D49">
        <v>11</v>
      </c>
      <c r="E49">
        <v>0</v>
      </c>
      <c r="F49">
        <v>15</v>
      </c>
      <c r="G49">
        <v>1</v>
      </c>
      <c r="H49">
        <v>1.0209999999999999</v>
      </c>
      <c r="I49">
        <v>19.93</v>
      </c>
      <c r="J49">
        <v>138</v>
      </c>
      <c r="K49">
        <v>1</v>
      </c>
      <c r="L49">
        <v>1.06</v>
      </c>
      <c r="M49">
        <v>0.94</v>
      </c>
    </row>
    <row r="50" spans="1:13" x14ac:dyDescent="0.15">
      <c r="A50">
        <v>49</v>
      </c>
      <c r="B50">
        <v>2</v>
      </c>
      <c r="C50">
        <v>87</v>
      </c>
      <c r="D50">
        <v>30</v>
      </c>
      <c r="E50">
        <v>0</v>
      </c>
      <c r="F50">
        <v>0</v>
      </c>
      <c r="G50">
        <v>1</v>
      </c>
      <c r="H50">
        <v>1.0249999999999999</v>
      </c>
      <c r="I50">
        <v>20.94</v>
      </c>
      <c r="J50">
        <v>138</v>
      </c>
      <c r="K50">
        <v>1</v>
      </c>
      <c r="L50">
        <v>1.06</v>
      </c>
      <c r="M50">
        <v>0.94</v>
      </c>
    </row>
    <row r="51" spans="1:13" x14ac:dyDescent="0.15">
      <c r="A51">
        <v>50</v>
      </c>
      <c r="B51">
        <v>1</v>
      </c>
      <c r="C51">
        <v>17</v>
      </c>
      <c r="D51">
        <v>4</v>
      </c>
      <c r="E51">
        <v>0</v>
      </c>
      <c r="F51">
        <v>0</v>
      </c>
      <c r="G51">
        <v>1</v>
      </c>
      <c r="H51">
        <v>1.0009999999999999</v>
      </c>
      <c r="I51">
        <v>18.899999999999999</v>
      </c>
      <c r="J51">
        <v>138</v>
      </c>
      <c r="K51">
        <v>1</v>
      </c>
      <c r="L51">
        <v>1.06</v>
      </c>
      <c r="M51">
        <v>0.94</v>
      </c>
    </row>
    <row r="52" spans="1:13" x14ac:dyDescent="0.15">
      <c r="A52">
        <v>51</v>
      </c>
      <c r="B52">
        <v>1</v>
      </c>
      <c r="C52">
        <v>17</v>
      </c>
      <c r="D52">
        <v>8</v>
      </c>
      <c r="E52">
        <v>0</v>
      </c>
      <c r="F52">
        <v>0</v>
      </c>
      <c r="G52">
        <v>1</v>
      </c>
      <c r="H52">
        <v>0.96699999999999997</v>
      </c>
      <c r="I52">
        <v>16.28</v>
      </c>
      <c r="J52">
        <v>138</v>
      </c>
      <c r="K52">
        <v>1</v>
      </c>
      <c r="L52">
        <v>1.06</v>
      </c>
      <c r="M52">
        <v>0.94</v>
      </c>
    </row>
    <row r="53" spans="1:13" x14ac:dyDescent="0.15">
      <c r="A53">
        <v>52</v>
      </c>
      <c r="B53">
        <v>1</v>
      </c>
      <c r="C53">
        <v>18</v>
      </c>
      <c r="D53">
        <v>5</v>
      </c>
      <c r="E53">
        <v>0</v>
      </c>
      <c r="F53">
        <v>0</v>
      </c>
      <c r="G53">
        <v>1</v>
      </c>
      <c r="H53">
        <v>0.95699999999999996</v>
      </c>
      <c r="I53">
        <v>15.32</v>
      </c>
      <c r="J53">
        <v>138</v>
      </c>
      <c r="K53">
        <v>1</v>
      </c>
      <c r="L53">
        <v>1.06</v>
      </c>
      <c r="M53">
        <v>0.94</v>
      </c>
    </row>
    <row r="54" spans="1:13" x14ac:dyDescent="0.15">
      <c r="A54">
        <v>53</v>
      </c>
      <c r="B54">
        <v>1</v>
      </c>
      <c r="C54">
        <v>23</v>
      </c>
      <c r="D54">
        <v>11</v>
      </c>
      <c r="E54">
        <v>0</v>
      </c>
      <c r="F54">
        <v>0</v>
      </c>
      <c r="G54">
        <v>1</v>
      </c>
      <c r="H54">
        <v>0.94599999999999995</v>
      </c>
      <c r="I54">
        <v>14.35</v>
      </c>
      <c r="J54">
        <v>138</v>
      </c>
      <c r="K54">
        <v>1</v>
      </c>
      <c r="L54">
        <v>1.06</v>
      </c>
      <c r="M54">
        <v>0.94</v>
      </c>
    </row>
    <row r="55" spans="1:13" x14ac:dyDescent="0.15">
      <c r="A55">
        <v>54</v>
      </c>
      <c r="B55">
        <v>2</v>
      </c>
      <c r="C55">
        <v>113</v>
      </c>
      <c r="D55">
        <v>32</v>
      </c>
      <c r="E55">
        <v>0</v>
      </c>
      <c r="F55">
        <v>0</v>
      </c>
      <c r="G55">
        <v>1</v>
      </c>
      <c r="H55">
        <v>0.95499999999999996</v>
      </c>
      <c r="I55">
        <v>15.26</v>
      </c>
      <c r="J55">
        <v>138</v>
      </c>
      <c r="K55">
        <v>1</v>
      </c>
      <c r="L55">
        <v>1.06</v>
      </c>
      <c r="M55">
        <v>0.94</v>
      </c>
    </row>
    <row r="56" spans="1:13" x14ac:dyDescent="0.15">
      <c r="A56">
        <v>55</v>
      </c>
      <c r="B56">
        <v>2</v>
      </c>
      <c r="C56">
        <v>63</v>
      </c>
      <c r="D56">
        <v>22</v>
      </c>
      <c r="E56">
        <v>0</v>
      </c>
      <c r="F56">
        <v>0</v>
      </c>
      <c r="G56">
        <v>1</v>
      </c>
      <c r="H56">
        <v>0.95199999999999996</v>
      </c>
      <c r="I56">
        <v>14.97</v>
      </c>
      <c r="J56">
        <v>138</v>
      </c>
      <c r="K56">
        <v>1</v>
      </c>
      <c r="L56">
        <v>1.06</v>
      </c>
      <c r="M56">
        <v>0.94</v>
      </c>
    </row>
    <row r="57" spans="1:13" x14ac:dyDescent="0.15">
      <c r="A57">
        <v>56</v>
      </c>
      <c r="B57">
        <v>2</v>
      </c>
      <c r="C57">
        <v>84</v>
      </c>
      <c r="D57">
        <v>18</v>
      </c>
      <c r="E57">
        <v>0</v>
      </c>
      <c r="F57">
        <v>0</v>
      </c>
      <c r="G57">
        <v>1</v>
      </c>
      <c r="H57">
        <v>0.95399999999999996</v>
      </c>
      <c r="I57">
        <v>15.16</v>
      </c>
      <c r="J57">
        <v>138</v>
      </c>
      <c r="K57">
        <v>1</v>
      </c>
      <c r="L57">
        <v>1.06</v>
      </c>
      <c r="M57">
        <v>0.94</v>
      </c>
    </row>
    <row r="58" spans="1:13" x14ac:dyDescent="0.15">
      <c r="A58">
        <v>57</v>
      </c>
      <c r="B58">
        <v>1</v>
      </c>
      <c r="C58">
        <v>12</v>
      </c>
      <c r="D58">
        <v>3</v>
      </c>
      <c r="E58">
        <v>0</v>
      </c>
      <c r="F58">
        <v>0</v>
      </c>
      <c r="G58">
        <v>1</v>
      </c>
      <c r="H58">
        <v>0.97099999999999997</v>
      </c>
      <c r="I58">
        <v>16.36</v>
      </c>
      <c r="J58">
        <v>138</v>
      </c>
      <c r="K58">
        <v>1</v>
      </c>
      <c r="L58">
        <v>1.06</v>
      </c>
      <c r="M58">
        <v>0.94</v>
      </c>
    </row>
    <row r="59" spans="1:13" x14ac:dyDescent="0.15">
      <c r="A59">
        <v>58</v>
      </c>
      <c r="B59">
        <v>1</v>
      </c>
      <c r="C59">
        <v>12</v>
      </c>
      <c r="D59">
        <v>3</v>
      </c>
      <c r="E59">
        <v>0</v>
      </c>
      <c r="F59">
        <v>0</v>
      </c>
      <c r="G59">
        <v>1</v>
      </c>
      <c r="H59">
        <v>0.95899999999999996</v>
      </c>
      <c r="I59">
        <v>15.51</v>
      </c>
      <c r="J59">
        <v>138</v>
      </c>
      <c r="K59">
        <v>1</v>
      </c>
      <c r="L59">
        <v>1.06</v>
      </c>
      <c r="M59">
        <v>0.94</v>
      </c>
    </row>
    <row r="60" spans="1:13" x14ac:dyDescent="0.15">
      <c r="A60">
        <v>59</v>
      </c>
      <c r="B60">
        <v>2</v>
      </c>
      <c r="C60">
        <v>277</v>
      </c>
      <c r="D60">
        <v>113</v>
      </c>
      <c r="E60">
        <v>0</v>
      </c>
      <c r="F60">
        <v>0</v>
      </c>
      <c r="G60">
        <v>1</v>
      </c>
      <c r="H60">
        <v>0.98499999999999999</v>
      </c>
      <c r="I60">
        <v>19.37</v>
      </c>
      <c r="J60">
        <v>138</v>
      </c>
      <c r="K60">
        <v>1</v>
      </c>
      <c r="L60">
        <v>1.06</v>
      </c>
      <c r="M60">
        <v>0.94</v>
      </c>
    </row>
    <row r="61" spans="1:13" x14ac:dyDescent="0.15">
      <c r="A61">
        <v>60</v>
      </c>
      <c r="B61">
        <v>1</v>
      </c>
      <c r="C61">
        <v>78</v>
      </c>
      <c r="D61">
        <v>3</v>
      </c>
      <c r="E61">
        <v>0</v>
      </c>
      <c r="F61">
        <v>0</v>
      </c>
      <c r="G61">
        <v>1</v>
      </c>
      <c r="H61">
        <v>0.99299999999999999</v>
      </c>
      <c r="I61">
        <v>23.15</v>
      </c>
      <c r="J61">
        <v>138</v>
      </c>
      <c r="K61">
        <v>1</v>
      </c>
      <c r="L61">
        <v>1.06</v>
      </c>
      <c r="M61">
        <v>0.94</v>
      </c>
    </row>
    <row r="62" spans="1:13" x14ac:dyDescent="0.15">
      <c r="A62">
        <v>61</v>
      </c>
      <c r="B62">
        <v>2</v>
      </c>
      <c r="C62">
        <v>0</v>
      </c>
      <c r="D62">
        <v>0</v>
      </c>
      <c r="E62">
        <v>0</v>
      </c>
      <c r="F62">
        <v>0</v>
      </c>
      <c r="G62">
        <v>1</v>
      </c>
      <c r="H62">
        <v>0.995</v>
      </c>
      <c r="I62">
        <v>24.04</v>
      </c>
      <c r="J62">
        <v>138</v>
      </c>
      <c r="K62">
        <v>1</v>
      </c>
      <c r="L62">
        <v>1.06</v>
      </c>
      <c r="M62">
        <v>0.94</v>
      </c>
    </row>
    <row r="63" spans="1:13" x14ac:dyDescent="0.15">
      <c r="A63">
        <v>62</v>
      </c>
      <c r="B63">
        <v>2</v>
      </c>
      <c r="C63">
        <v>77</v>
      </c>
      <c r="D63">
        <v>14</v>
      </c>
      <c r="E63">
        <v>0</v>
      </c>
      <c r="F63">
        <v>0</v>
      </c>
      <c r="G63">
        <v>1</v>
      </c>
      <c r="H63">
        <v>0.998</v>
      </c>
      <c r="I63">
        <v>23.43</v>
      </c>
      <c r="J63">
        <v>138</v>
      </c>
      <c r="K63">
        <v>1</v>
      </c>
      <c r="L63">
        <v>1.06</v>
      </c>
      <c r="M63">
        <v>0.94</v>
      </c>
    </row>
    <row r="64" spans="1:13" x14ac:dyDescent="0.15">
      <c r="A64">
        <v>63</v>
      </c>
      <c r="B64">
        <v>1</v>
      </c>
      <c r="C64">
        <v>0</v>
      </c>
      <c r="D64">
        <v>0</v>
      </c>
      <c r="E64">
        <v>0</v>
      </c>
      <c r="F64">
        <v>0</v>
      </c>
      <c r="G64">
        <v>1</v>
      </c>
      <c r="H64">
        <v>0.96899999999999997</v>
      </c>
      <c r="I64">
        <v>22.75</v>
      </c>
      <c r="J64">
        <v>345</v>
      </c>
      <c r="K64">
        <v>1</v>
      </c>
      <c r="L64">
        <v>1.06</v>
      </c>
      <c r="M64">
        <v>0.94</v>
      </c>
    </row>
    <row r="65" spans="1:13" x14ac:dyDescent="0.15">
      <c r="A65">
        <v>64</v>
      </c>
      <c r="B65">
        <v>1</v>
      </c>
      <c r="C65">
        <v>0</v>
      </c>
      <c r="D65">
        <v>0</v>
      </c>
      <c r="E65">
        <v>0</v>
      </c>
      <c r="F65">
        <v>0</v>
      </c>
      <c r="G65">
        <v>1</v>
      </c>
      <c r="H65">
        <v>0.98399999999999999</v>
      </c>
      <c r="I65">
        <v>24.52</v>
      </c>
      <c r="J65">
        <v>345</v>
      </c>
      <c r="K65">
        <v>1</v>
      </c>
      <c r="L65">
        <v>1.06</v>
      </c>
      <c r="M65">
        <v>0.94</v>
      </c>
    </row>
    <row r="66" spans="1:13" x14ac:dyDescent="0.15">
      <c r="A66">
        <v>65</v>
      </c>
      <c r="B66">
        <v>2</v>
      </c>
      <c r="C66">
        <v>0</v>
      </c>
      <c r="D66">
        <v>0</v>
      </c>
      <c r="E66">
        <v>0</v>
      </c>
      <c r="F66">
        <v>0</v>
      </c>
      <c r="G66">
        <v>1</v>
      </c>
      <c r="H66">
        <v>1.0049999999999999</v>
      </c>
      <c r="I66">
        <v>27.65</v>
      </c>
      <c r="J66">
        <v>345</v>
      </c>
      <c r="K66">
        <v>1</v>
      </c>
      <c r="L66">
        <v>1.06</v>
      </c>
      <c r="M66">
        <v>0.94</v>
      </c>
    </row>
    <row r="67" spans="1:13" x14ac:dyDescent="0.15">
      <c r="A67">
        <v>66</v>
      </c>
      <c r="B67">
        <v>2</v>
      </c>
      <c r="C67">
        <v>39</v>
      </c>
      <c r="D67">
        <v>18</v>
      </c>
      <c r="E67">
        <v>0</v>
      </c>
      <c r="F67">
        <v>0</v>
      </c>
      <c r="G67">
        <v>1</v>
      </c>
      <c r="H67">
        <v>1.05</v>
      </c>
      <c r="I67">
        <v>27.48</v>
      </c>
      <c r="J67">
        <v>138</v>
      </c>
      <c r="K67">
        <v>1</v>
      </c>
      <c r="L67">
        <v>1.06</v>
      </c>
      <c r="M67">
        <v>0.94</v>
      </c>
    </row>
    <row r="68" spans="1:13" x14ac:dyDescent="0.15">
      <c r="A68">
        <v>67</v>
      </c>
      <c r="B68">
        <v>1</v>
      </c>
      <c r="C68">
        <v>28</v>
      </c>
      <c r="D68">
        <v>7</v>
      </c>
      <c r="E68">
        <v>0</v>
      </c>
      <c r="F68">
        <v>0</v>
      </c>
      <c r="G68">
        <v>1</v>
      </c>
      <c r="H68">
        <v>1.02</v>
      </c>
      <c r="I68">
        <v>24.84</v>
      </c>
      <c r="J68">
        <v>138</v>
      </c>
      <c r="K68">
        <v>1</v>
      </c>
      <c r="L68">
        <v>1.06</v>
      </c>
      <c r="M68">
        <v>0.94</v>
      </c>
    </row>
    <row r="69" spans="1:13" x14ac:dyDescent="0.15">
      <c r="A69">
        <v>68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1.0029999999999999</v>
      </c>
      <c r="I69">
        <v>27.55</v>
      </c>
      <c r="J69">
        <v>345</v>
      </c>
      <c r="K69">
        <v>1</v>
      </c>
      <c r="L69">
        <v>1.06</v>
      </c>
      <c r="M69">
        <v>0.94</v>
      </c>
    </row>
    <row r="70" spans="1:13" x14ac:dyDescent="0.15">
      <c r="A70">
        <v>69</v>
      </c>
      <c r="B70">
        <v>3</v>
      </c>
      <c r="C70">
        <v>0</v>
      </c>
      <c r="D70">
        <v>0</v>
      </c>
      <c r="E70">
        <v>0</v>
      </c>
      <c r="F70">
        <v>0</v>
      </c>
      <c r="G70">
        <v>1</v>
      </c>
      <c r="H70">
        <v>1.0349999999999999</v>
      </c>
      <c r="I70">
        <v>30</v>
      </c>
      <c r="J70">
        <v>138</v>
      </c>
      <c r="K70">
        <v>1</v>
      </c>
      <c r="L70">
        <v>1.06</v>
      </c>
      <c r="M70">
        <v>0.94</v>
      </c>
    </row>
    <row r="71" spans="1:13" x14ac:dyDescent="0.15">
      <c r="A71">
        <v>70</v>
      </c>
      <c r="B71">
        <v>2</v>
      </c>
      <c r="C71">
        <v>66</v>
      </c>
      <c r="D71">
        <v>20</v>
      </c>
      <c r="E71">
        <v>0</v>
      </c>
      <c r="F71">
        <v>0</v>
      </c>
      <c r="G71">
        <v>1</v>
      </c>
      <c r="H71">
        <v>0.98399999999999999</v>
      </c>
      <c r="I71">
        <v>22.58</v>
      </c>
      <c r="J71">
        <v>138</v>
      </c>
      <c r="K71">
        <v>1</v>
      </c>
      <c r="L71">
        <v>1.06</v>
      </c>
      <c r="M71">
        <v>0.94</v>
      </c>
    </row>
    <row r="72" spans="1:13" x14ac:dyDescent="0.15">
      <c r="A72">
        <v>71</v>
      </c>
      <c r="B72">
        <v>1</v>
      </c>
      <c r="C72">
        <v>0</v>
      </c>
      <c r="D72">
        <v>0</v>
      </c>
      <c r="E72">
        <v>0</v>
      </c>
      <c r="F72">
        <v>0</v>
      </c>
      <c r="G72">
        <v>1</v>
      </c>
      <c r="H72">
        <v>0.98699999999999999</v>
      </c>
      <c r="I72">
        <v>22.15</v>
      </c>
      <c r="J72">
        <v>138</v>
      </c>
      <c r="K72">
        <v>1</v>
      </c>
      <c r="L72">
        <v>1.06</v>
      </c>
      <c r="M72">
        <v>0.94</v>
      </c>
    </row>
    <row r="73" spans="1:13" x14ac:dyDescent="0.15">
      <c r="A73">
        <v>72</v>
      </c>
      <c r="B73">
        <v>2</v>
      </c>
      <c r="C73">
        <v>12</v>
      </c>
      <c r="D73">
        <v>0</v>
      </c>
      <c r="E73">
        <v>0</v>
      </c>
      <c r="F73">
        <v>0</v>
      </c>
      <c r="G73">
        <v>1</v>
      </c>
      <c r="H73">
        <v>0.98</v>
      </c>
      <c r="I73">
        <v>20.98</v>
      </c>
      <c r="J73">
        <v>138</v>
      </c>
      <c r="K73">
        <v>1</v>
      </c>
      <c r="L73">
        <v>1.06</v>
      </c>
      <c r="M73">
        <v>0.94</v>
      </c>
    </row>
    <row r="74" spans="1:13" x14ac:dyDescent="0.15">
      <c r="A74">
        <v>73</v>
      </c>
      <c r="B74">
        <v>2</v>
      </c>
      <c r="C74">
        <v>6</v>
      </c>
      <c r="D74">
        <v>0</v>
      </c>
      <c r="E74">
        <v>0</v>
      </c>
      <c r="F74">
        <v>0</v>
      </c>
      <c r="G74">
        <v>1</v>
      </c>
      <c r="H74">
        <v>0.99099999999999999</v>
      </c>
      <c r="I74">
        <v>21.94</v>
      </c>
      <c r="J74">
        <v>138</v>
      </c>
      <c r="K74">
        <v>1</v>
      </c>
      <c r="L74">
        <v>1.06</v>
      </c>
      <c r="M74">
        <v>0.94</v>
      </c>
    </row>
    <row r="75" spans="1:13" x14ac:dyDescent="0.15">
      <c r="A75">
        <v>74</v>
      </c>
      <c r="B75">
        <v>2</v>
      </c>
      <c r="C75">
        <v>68</v>
      </c>
      <c r="D75">
        <v>27</v>
      </c>
      <c r="E75">
        <v>0</v>
      </c>
      <c r="F75">
        <v>12</v>
      </c>
      <c r="G75">
        <v>1</v>
      </c>
      <c r="H75">
        <v>0.95799999999999996</v>
      </c>
      <c r="I75">
        <v>21.64</v>
      </c>
      <c r="J75">
        <v>138</v>
      </c>
      <c r="K75">
        <v>1</v>
      </c>
      <c r="L75">
        <v>1.06</v>
      </c>
      <c r="M75">
        <v>0.94</v>
      </c>
    </row>
    <row r="76" spans="1:13" x14ac:dyDescent="0.15">
      <c r="A76">
        <v>75</v>
      </c>
      <c r="B76">
        <v>1</v>
      </c>
      <c r="C76">
        <v>47</v>
      </c>
      <c r="D76">
        <v>11</v>
      </c>
      <c r="E76">
        <v>0</v>
      </c>
      <c r="F76">
        <v>0</v>
      </c>
      <c r="G76">
        <v>1</v>
      </c>
      <c r="H76">
        <v>0.96699999999999997</v>
      </c>
      <c r="I76">
        <v>22.91</v>
      </c>
      <c r="J76">
        <v>138</v>
      </c>
      <c r="K76">
        <v>1</v>
      </c>
      <c r="L76">
        <v>1.06</v>
      </c>
      <c r="M76">
        <v>0.94</v>
      </c>
    </row>
    <row r="77" spans="1:13" x14ac:dyDescent="0.15">
      <c r="A77">
        <v>76</v>
      </c>
      <c r="B77">
        <v>2</v>
      </c>
      <c r="C77">
        <v>68</v>
      </c>
      <c r="D77">
        <v>36</v>
      </c>
      <c r="E77">
        <v>0</v>
      </c>
      <c r="F77">
        <v>0</v>
      </c>
      <c r="G77">
        <v>1</v>
      </c>
      <c r="H77">
        <v>0.94299999999999995</v>
      </c>
      <c r="I77">
        <v>21.77</v>
      </c>
      <c r="J77">
        <v>138</v>
      </c>
      <c r="K77">
        <v>1</v>
      </c>
      <c r="L77">
        <v>1.06</v>
      </c>
      <c r="M77">
        <v>0.94</v>
      </c>
    </row>
    <row r="78" spans="1:13" x14ac:dyDescent="0.15">
      <c r="A78">
        <v>77</v>
      </c>
      <c r="B78">
        <v>2</v>
      </c>
      <c r="C78">
        <v>61</v>
      </c>
      <c r="D78">
        <v>28</v>
      </c>
      <c r="E78">
        <v>0</v>
      </c>
      <c r="F78">
        <v>0</v>
      </c>
      <c r="G78">
        <v>1</v>
      </c>
      <c r="H78">
        <v>1.006</v>
      </c>
      <c r="I78">
        <v>26.72</v>
      </c>
      <c r="J78">
        <v>138</v>
      </c>
      <c r="K78">
        <v>1</v>
      </c>
      <c r="L78">
        <v>1.06</v>
      </c>
      <c r="M78">
        <v>0.94</v>
      </c>
    </row>
    <row r="79" spans="1:13" x14ac:dyDescent="0.15">
      <c r="A79">
        <v>78</v>
      </c>
      <c r="B79">
        <v>1</v>
      </c>
      <c r="C79">
        <v>71</v>
      </c>
      <c r="D79">
        <v>26</v>
      </c>
      <c r="E79">
        <v>0</v>
      </c>
      <c r="F79">
        <v>0</v>
      </c>
      <c r="G79">
        <v>1</v>
      </c>
      <c r="H79">
        <v>1.0029999999999999</v>
      </c>
      <c r="I79">
        <v>26.42</v>
      </c>
      <c r="J79">
        <v>138</v>
      </c>
      <c r="K79">
        <v>1</v>
      </c>
      <c r="L79">
        <v>1.06</v>
      </c>
      <c r="M79">
        <v>0.94</v>
      </c>
    </row>
    <row r="80" spans="1:13" x14ac:dyDescent="0.15">
      <c r="A80">
        <v>79</v>
      </c>
      <c r="B80">
        <v>1</v>
      </c>
      <c r="C80">
        <v>39</v>
      </c>
      <c r="D80">
        <v>32</v>
      </c>
      <c r="E80">
        <v>0</v>
      </c>
      <c r="F80">
        <v>20</v>
      </c>
      <c r="G80">
        <v>1</v>
      </c>
      <c r="H80">
        <v>1.0089999999999999</v>
      </c>
      <c r="I80">
        <v>26.72</v>
      </c>
      <c r="J80">
        <v>138</v>
      </c>
      <c r="K80">
        <v>1</v>
      </c>
      <c r="L80">
        <v>1.06</v>
      </c>
      <c r="M80">
        <v>0.94</v>
      </c>
    </row>
    <row r="81" spans="1:13" x14ac:dyDescent="0.15">
      <c r="A81">
        <v>80</v>
      </c>
      <c r="B81">
        <v>2</v>
      </c>
      <c r="C81">
        <v>130</v>
      </c>
      <c r="D81">
        <v>26</v>
      </c>
      <c r="E81">
        <v>0</v>
      </c>
      <c r="F81">
        <v>0</v>
      </c>
      <c r="G81">
        <v>1</v>
      </c>
      <c r="H81">
        <v>1.04</v>
      </c>
      <c r="I81">
        <v>28.96</v>
      </c>
      <c r="J81">
        <v>138</v>
      </c>
      <c r="K81">
        <v>1</v>
      </c>
      <c r="L81">
        <v>1.06</v>
      </c>
      <c r="M81">
        <v>0.94</v>
      </c>
    </row>
    <row r="82" spans="1:13" x14ac:dyDescent="0.15">
      <c r="A82">
        <v>81</v>
      </c>
      <c r="B82">
        <v>1</v>
      </c>
      <c r="C82">
        <v>0</v>
      </c>
      <c r="D82">
        <v>0</v>
      </c>
      <c r="E82">
        <v>0</v>
      </c>
      <c r="F82">
        <v>0</v>
      </c>
      <c r="G82">
        <v>1</v>
      </c>
      <c r="H82">
        <v>0.997</v>
      </c>
      <c r="I82">
        <v>28.1</v>
      </c>
      <c r="J82">
        <v>345</v>
      </c>
      <c r="K82">
        <v>1</v>
      </c>
      <c r="L82">
        <v>1.06</v>
      </c>
      <c r="M82">
        <v>0.94</v>
      </c>
    </row>
    <row r="83" spans="1:13" x14ac:dyDescent="0.15">
      <c r="A83">
        <v>82</v>
      </c>
      <c r="B83">
        <v>1</v>
      </c>
      <c r="C83">
        <v>54</v>
      </c>
      <c r="D83">
        <v>27</v>
      </c>
      <c r="E83">
        <v>0</v>
      </c>
      <c r="F83">
        <v>20</v>
      </c>
      <c r="G83">
        <v>1</v>
      </c>
      <c r="H83">
        <v>0.98899999999999999</v>
      </c>
      <c r="I83">
        <v>27.24</v>
      </c>
      <c r="J83">
        <v>138</v>
      </c>
      <c r="K83">
        <v>1</v>
      </c>
      <c r="L83">
        <v>1.06</v>
      </c>
      <c r="M83">
        <v>0.94</v>
      </c>
    </row>
    <row r="84" spans="1:13" x14ac:dyDescent="0.15">
      <c r="A84">
        <v>83</v>
      </c>
      <c r="B84">
        <v>1</v>
      </c>
      <c r="C84">
        <v>20</v>
      </c>
      <c r="D84">
        <v>10</v>
      </c>
      <c r="E84">
        <v>0</v>
      </c>
      <c r="F84">
        <v>10</v>
      </c>
      <c r="G84">
        <v>1</v>
      </c>
      <c r="H84">
        <v>0.98499999999999999</v>
      </c>
      <c r="I84">
        <v>28.42</v>
      </c>
      <c r="J84">
        <v>138</v>
      </c>
      <c r="K84">
        <v>1</v>
      </c>
      <c r="L84">
        <v>1.06</v>
      </c>
      <c r="M84">
        <v>0.94</v>
      </c>
    </row>
    <row r="85" spans="1:13" x14ac:dyDescent="0.15">
      <c r="A85">
        <v>84</v>
      </c>
      <c r="B85">
        <v>1</v>
      </c>
      <c r="C85">
        <v>11</v>
      </c>
      <c r="D85">
        <v>7</v>
      </c>
      <c r="E85">
        <v>0</v>
      </c>
      <c r="F85">
        <v>0</v>
      </c>
      <c r="G85">
        <v>1</v>
      </c>
      <c r="H85">
        <v>0.98</v>
      </c>
      <c r="I85">
        <v>30.95</v>
      </c>
      <c r="J85">
        <v>138</v>
      </c>
      <c r="K85">
        <v>1</v>
      </c>
      <c r="L85">
        <v>1.06</v>
      </c>
      <c r="M85">
        <v>0.94</v>
      </c>
    </row>
    <row r="86" spans="1:13" x14ac:dyDescent="0.15">
      <c r="A86">
        <v>85</v>
      </c>
      <c r="B86">
        <v>2</v>
      </c>
      <c r="C86">
        <v>24</v>
      </c>
      <c r="D86">
        <v>15</v>
      </c>
      <c r="E86">
        <v>0</v>
      </c>
      <c r="F86">
        <v>0</v>
      </c>
      <c r="G86">
        <v>1</v>
      </c>
      <c r="H86">
        <v>0.98499999999999999</v>
      </c>
      <c r="I86">
        <v>32.51</v>
      </c>
      <c r="J86">
        <v>138</v>
      </c>
      <c r="K86">
        <v>1</v>
      </c>
      <c r="L86">
        <v>1.06</v>
      </c>
      <c r="M86">
        <v>0.94</v>
      </c>
    </row>
    <row r="87" spans="1:13" x14ac:dyDescent="0.15">
      <c r="A87">
        <v>86</v>
      </c>
      <c r="B87">
        <v>1</v>
      </c>
      <c r="C87">
        <v>21</v>
      </c>
      <c r="D87">
        <v>10</v>
      </c>
      <c r="E87">
        <v>0</v>
      </c>
      <c r="F87">
        <v>0</v>
      </c>
      <c r="G87">
        <v>1</v>
      </c>
      <c r="H87">
        <v>0.98699999999999999</v>
      </c>
      <c r="I87">
        <v>31.14</v>
      </c>
      <c r="J87">
        <v>138</v>
      </c>
      <c r="K87">
        <v>1</v>
      </c>
      <c r="L87">
        <v>1.06</v>
      </c>
      <c r="M87">
        <v>0.94</v>
      </c>
    </row>
    <row r="88" spans="1:13" x14ac:dyDescent="0.15">
      <c r="A88">
        <v>87</v>
      </c>
      <c r="B88">
        <v>2</v>
      </c>
      <c r="C88">
        <v>0</v>
      </c>
      <c r="D88">
        <v>0</v>
      </c>
      <c r="E88">
        <v>0</v>
      </c>
      <c r="F88">
        <v>0</v>
      </c>
      <c r="G88">
        <v>1</v>
      </c>
      <c r="H88">
        <v>1.0149999999999999</v>
      </c>
      <c r="I88">
        <v>31.4</v>
      </c>
      <c r="J88">
        <v>161</v>
      </c>
      <c r="K88">
        <v>1</v>
      </c>
      <c r="L88">
        <v>1.06</v>
      </c>
      <c r="M88">
        <v>0.94</v>
      </c>
    </row>
    <row r="89" spans="1:13" x14ac:dyDescent="0.15">
      <c r="A89">
        <v>88</v>
      </c>
      <c r="B89">
        <v>1</v>
      </c>
      <c r="C89">
        <v>48</v>
      </c>
      <c r="D89">
        <v>10</v>
      </c>
      <c r="E89">
        <v>0</v>
      </c>
      <c r="F89">
        <v>0</v>
      </c>
      <c r="G89">
        <v>1</v>
      </c>
      <c r="H89">
        <v>0.98699999999999999</v>
      </c>
      <c r="I89">
        <v>35.64</v>
      </c>
      <c r="J89">
        <v>138</v>
      </c>
      <c r="K89">
        <v>1</v>
      </c>
      <c r="L89">
        <v>1.06</v>
      </c>
      <c r="M89">
        <v>0.94</v>
      </c>
    </row>
    <row r="90" spans="1:13" x14ac:dyDescent="0.15">
      <c r="A90">
        <v>89</v>
      </c>
      <c r="B90">
        <v>2</v>
      </c>
      <c r="C90">
        <v>0</v>
      </c>
      <c r="D90">
        <v>0</v>
      </c>
      <c r="E90">
        <v>0</v>
      </c>
      <c r="F90">
        <v>0</v>
      </c>
      <c r="G90">
        <v>1</v>
      </c>
      <c r="H90">
        <v>1.0049999999999999</v>
      </c>
      <c r="I90">
        <v>39.69</v>
      </c>
      <c r="J90">
        <v>138</v>
      </c>
      <c r="K90">
        <v>1</v>
      </c>
      <c r="L90">
        <v>1.06</v>
      </c>
      <c r="M90">
        <v>0.94</v>
      </c>
    </row>
    <row r="91" spans="1:13" x14ac:dyDescent="0.15">
      <c r="A91">
        <v>90</v>
      </c>
      <c r="B91">
        <v>2</v>
      </c>
      <c r="C91">
        <v>163</v>
      </c>
      <c r="D91">
        <v>42</v>
      </c>
      <c r="E91">
        <v>0</v>
      </c>
      <c r="F91">
        <v>0</v>
      </c>
      <c r="G91">
        <v>1</v>
      </c>
      <c r="H91">
        <v>0.98499999999999999</v>
      </c>
      <c r="I91">
        <v>33.29</v>
      </c>
      <c r="J91">
        <v>138</v>
      </c>
      <c r="K91">
        <v>1</v>
      </c>
      <c r="L91">
        <v>1.06</v>
      </c>
      <c r="M91">
        <v>0.94</v>
      </c>
    </row>
    <row r="92" spans="1:13" x14ac:dyDescent="0.15">
      <c r="A92">
        <v>91</v>
      </c>
      <c r="B92">
        <v>2</v>
      </c>
      <c r="C92">
        <v>10</v>
      </c>
      <c r="D92">
        <v>0</v>
      </c>
      <c r="E92">
        <v>0</v>
      </c>
      <c r="F92">
        <v>0</v>
      </c>
      <c r="G92">
        <v>1</v>
      </c>
      <c r="H92">
        <v>0.98</v>
      </c>
      <c r="I92">
        <v>33.31</v>
      </c>
      <c r="J92">
        <v>138</v>
      </c>
      <c r="K92">
        <v>1</v>
      </c>
      <c r="L92">
        <v>1.06</v>
      </c>
      <c r="M92">
        <v>0.94</v>
      </c>
    </row>
    <row r="93" spans="1:13" x14ac:dyDescent="0.15">
      <c r="A93">
        <v>92</v>
      </c>
      <c r="B93">
        <v>2</v>
      </c>
      <c r="C93">
        <v>65</v>
      </c>
      <c r="D93">
        <v>10</v>
      </c>
      <c r="E93">
        <v>0</v>
      </c>
      <c r="F93">
        <v>0</v>
      </c>
      <c r="G93">
        <v>1</v>
      </c>
      <c r="H93">
        <v>0.99299999999999999</v>
      </c>
      <c r="I93">
        <v>33.799999999999997</v>
      </c>
      <c r="J93">
        <v>138</v>
      </c>
      <c r="K93">
        <v>1</v>
      </c>
      <c r="L93">
        <v>1.06</v>
      </c>
      <c r="M93">
        <v>0.94</v>
      </c>
    </row>
    <row r="94" spans="1:13" x14ac:dyDescent="0.15">
      <c r="A94">
        <v>93</v>
      </c>
      <c r="B94">
        <v>1</v>
      </c>
      <c r="C94">
        <v>12</v>
      </c>
      <c r="D94">
        <v>7</v>
      </c>
      <c r="E94">
        <v>0</v>
      </c>
      <c r="F94">
        <v>0</v>
      </c>
      <c r="G94">
        <v>1</v>
      </c>
      <c r="H94">
        <v>0.98699999999999999</v>
      </c>
      <c r="I94">
        <v>30.79</v>
      </c>
      <c r="J94">
        <v>138</v>
      </c>
      <c r="K94">
        <v>1</v>
      </c>
      <c r="L94">
        <v>1.06</v>
      </c>
      <c r="M94">
        <v>0.94</v>
      </c>
    </row>
    <row r="95" spans="1:13" x14ac:dyDescent="0.15">
      <c r="A95">
        <v>94</v>
      </c>
      <c r="B95">
        <v>1</v>
      </c>
      <c r="C95">
        <v>30</v>
      </c>
      <c r="D95">
        <v>16</v>
      </c>
      <c r="E95">
        <v>0</v>
      </c>
      <c r="F95">
        <v>0</v>
      </c>
      <c r="G95">
        <v>1</v>
      </c>
      <c r="H95">
        <v>0.99099999999999999</v>
      </c>
      <c r="I95">
        <v>28.64</v>
      </c>
      <c r="J95">
        <v>138</v>
      </c>
      <c r="K95">
        <v>1</v>
      </c>
      <c r="L95">
        <v>1.06</v>
      </c>
      <c r="M95">
        <v>0.94</v>
      </c>
    </row>
    <row r="96" spans="1:13" x14ac:dyDescent="0.15">
      <c r="A96">
        <v>95</v>
      </c>
      <c r="B96">
        <v>1</v>
      </c>
      <c r="C96">
        <v>42</v>
      </c>
      <c r="D96">
        <v>31</v>
      </c>
      <c r="E96">
        <v>0</v>
      </c>
      <c r="F96">
        <v>0</v>
      </c>
      <c r="G96">
        <v>1</v>
      </c>
      <c r="H96">
        <v>0.98099999999999998</v>
      </c>
      <c r="I96">
        <v>27.67</v>
      </c>
      <c r="J96">
        <v>138</v>
      </c>
      <c r="K96">
        <v>1</v>
      </c>
      <c r="L96">
        <v>1.06</v>
      </c>
      <c r="M96">
        <v>0.94</v>
      </c>
    </row>
    <row r="97" spans="1:13" x14ac:dyDescent="0.15">
      <c r="A97">
        <v>96</v>
      </c>
      <c r="B97">
        <v>1</v>
      </c>
      <c r="C97">
        <v>38</v>
      </c>
      <c r="D97">
        <v>15</v>
      </c>
      <c r="E97">
        <v>0</v>
      </c>
      <c r="F97">
        <v>0</v>
      </c>
      <c r="G97">
        <v>1</v>
      </c>
      <c r="H97">
        <v>0.99299999999999999</v>
      </c>
      <c r="I97">
        <v>27.51</v>
      </c>
      <c r="J97">
        <v>138</v>
      </c>
      <c r="K97">
        <v>1</v>
      </c>
      <c r="L97">
        <v>1.06</v>
      </c>
      <c r="M97">
        <v>0.94</v>
      </c>
    </row>
    <row r="98" spans="1:13" x14ac:dyDescent="0.15">
      <c r="A98">
        <v>97</v>
      </c>
      <c r="B98">
        <v>1</v>
      </c>
      <c r="C98">
        <v>15</v>
      </c>
      <c r="D98">
        <v>9</v>
      </c>
      <c r="E98">
        <v>0</v>
      </c>
      <c r="F98">
        <v>0</v>
      </c>
      <c r="G98">
        <v>1</v>
      </c>
      <c r="H98">
        <v>1.0109999999999999</v>
      </c>
      <c r="I98">
        <v>27.88</v>
      </c>
      <c r="J98">
        <v>138</v>
      </c>
      <c r="K98">
        <v>1</v>
      </c>
      <c r="L98">
        <v>1.06</v>
      </c>
      <c r="M98">
        <v>0.94</v>
      </c>
    </row>
    <row r="99" spans="1:13" x14ac:dyDescent="0.15">
      <c r="A99">
        <v>98</v>
      </c>
      <c r="B99">
        <v>1</v>
      </c>
      <c r="C99">
        <v>34</v>
      </c>
      <c r="D99">
        <v>8</v>
      </c>
      <c r="E99">
        <v>0</v>
      </c>
      <c r="F99">
        <v>0</v>
      </c>
      <c r="G99">
        <v>1</v>
      </c>
      <c r="H99">
        <v>1.024</v>
      </c>
      <c r="I99">
        <v>27.4</v>
      </c>
      <c r="J99">
        <v>138</v>
      </c>
      <c r="K99">
        <v>1</v>
      </c>
      <c r="L99">
        <v>1.06</v>
      </c>
      <c r="M99">
        <v>0.94</v>
      </c>
    </row>
    <row r="100" spans="1:13" x14ac:dyDescent="0.15">
      <c r="A100">
        <v>99</v>
      </c>
      <c r="B100">
        <v>2</v>
      </c>
      <c r="C100">
        <v>42</v>
      </c>
      <c r="D100">
        <v>0</v>
      </c>
      <c r="E100">
        <v>0</v>
      </c>
      <c r="F100">
        <v>0</v>
      </c>
      <c r="G100">
        <v>1</v>
      </c>
      <c r="H100">
        <v>1.01</v>
      </c>
      <c r="I100">
        <v>27.04</v>
      </c>
      <c r="J100">
        <v>138</v>
      </c>
      <c r="K100">
        <v>1</v>
      </c>
      <c r="L100">
        <v>1.06</v>
      </c>
      <c r="M100">
        <v>0.94</v>
      </c>
    </row>
    <row r="101" spans="1:13" x14ac:dyDescent="0.15">
      <c r="A101">
        <v>100</v>
      </c>
      <c r="B101">
        <v>2</v>
      </c>
      <c r="C101">
        <v>37</v>
      </c>
      <c r="D101">
        <v>18</v>
      </c>
      <c r="E101">
        <v>0</v>
      </c>
      <c r="F101">
        <v>0</v>
      </c>
      <c r="G101">
        <v>1</v>
      </c>
      <c r="H101">
        <v>1.0169999999999999</v>
      </c>
      <c r="I101">
        <v>28.03</v>
      </c>
      <c r="J101">
        <v>138</v>
      </c>
      <c r="K101">
        <v>1</v>
      </c>
      <c r="L101">
        <v>1.06</v>
      </c>
      <c r="M101">
        <v>0.94</v>
      </c>
    </row>
    <row r="102" spans="1:13" x14ac:dyDescent="0.15">
      <c r="A102">
        <v>101</v>
      </c>
      <c r="B102">
        <v>1</v>
      </c>
      <c r="C102">
        <v>22</v>
      </c>
      <c r="D102">
        <v>15</v>
      </c>
      <c r="E102">
        <v>0</v>
      </c>
      <c r="F102">
        <v>0</v>
      </c>
      <c r="G102">
        <v>1</v>
      </c>
      <c r="H102">
        <v>0.99299999999999999</v>
      </c>
      <c r="I102">
        <v>29.61</v>
      </c>
      <c r="J102">
        <v>138</v>
      </c>
      <c r="K102">
        <v>1</v>
      </c>
      <c r="L102">
        <v>1.06</v>
      </c>
      <c r="M102">
        <v>0.94</v>
      </c>
    </row>
    <row r="103" spans="1:13" x14ac:dyDescent="0.15">
      <c r="A103">
        <v>102</v>
      </c>
      <c r="B103">
        <v>1</v>
      </c>
      <c r="C103">
        <v>5</v>
      </c>
      <c r="D103">
        <v>3</v>
      </c>
      <c r="E103">
        <v>0</v>
      </c>
      <c r="F103">
        <v>0</v>
      </c>
      <c r="G103">
        <v>1</v>
      </c>
      <c r="H103">
        <v>0.99099999999999999</v>
      </c>
      <c r="I103">
        <v>32.299999999999997</v>
      </c>
      <c r="J103">
        <v>138</v>
      </c>
      <c r="K103">
        <v>1</v>
      </c>
      <c r="L103">
        <v>1.06</v>
      </c>
      <c r="M103">
        <v>0.94</v>
      </c>
    </row>
    <row r="104" spans="1:13" x14ac:dyDescent="0.15">
      <c r="A104">
        <v>103</v>
      </c>
      <c r="B104">
        <v>2</v>
      </c>
      <c r="C104">
        <v>23</v>
      </c>
      <c r="D104">
        <v>16</v>
      </c>
      <c r="E104">
        <v>0</v>
      </c>
      <c r="F104">
        <v>0</v>
      </c>
      <c r="G104">
        <v>1</v>
      </c>
      <c r="H104">
        <v>1.0009999999999999</v>
      </c>
      <c r="I104">
        <v>24.44</v>
      </c>
      <c r="J104">
        <v>138</v>
      </c>
      <c r="K104">
        <v>1</v>
      </c>
      <c r="L104">
        <v>1.06</v>
      </c>
      <c r="M104">
        <v>0.94</v>
      </c>
    </row>
    <row r="105" spans="1:13" x14ac:dyDescent="0.15">
      <c r="A105">
        <v>104</v>
      </c>
      <c r="B105">
        <v>2</v>
      </c>
      <c r="C105">
        <v>38</v>
      </c>
      <c r="D105">
        <v>25</v>
      </c>
      <c r="E105">
        <v>0</v>
      </c>
      <c r="F105">
        <v>0</v>
      </c>
      <c r="G105">
        <v>1</v>
      </c>
      <c r="H105">
        <v>0.97099999999999997</v>
      </c>
      <c r="I105">
        <v>21.69</v>
      </c>
      <c r="J105">
        <v>138</v>
      </c>
      <c r="K105">
        <v>1</v>
      </c>
      <c r="L105">
        <v>1.06</v>
      </c>
      <c r="M105">
        <v>0.94</v>
      </c>
    </row>
    <row r="106" spans="1:13" x14ac:dyDescent="0.15">
      <c r="A106">
        <v>105</v>
      </c>
      <c r="B106">
        <v>2</v>
      </c>
      <c r="C106">
        <v>31</v>
      </c>
      <c r="D106">
        <v>26</v>
      </c>
      <c r="E106">
        <v>0</v>
      </c>
      <c r="F106">
        <v>20</v>
      </c>
      <c r="G106">
        <v>1</v>
      </c>
      <c r="H106">
        <v>0.96499999999999997</v>
      </c>
      <c r="I106">
        <v>20.57</v>
      </c>
      <c r="J106">
        <v>138</v>
      </c>
      <c r="K106">
        <v>1</v>
      </c>
      <c r="L106">
        <v>1.06</v>
      </c>
      <c r="M106">
        <v>0.94</v>
      </c>
    </row>
    <row r="107" spans="1:13" x14ac:dyDescent="0.15">
      <c r="A107">
        <v>106</v>
      </c>
      <c r="B107">
        <v>1</v>
      </c>
      <c r="C107">
        <v>43</v>
      </c>
      <c r="D107">
        <v>16</v>
      </c>
      <c r="E107">
        <v>0</v>
      </c>
      <c r="F107">
        <v>0</v>
      </c>
      <c r="G107">
        <v>1</v>
      </c>
      <c r="H107">
        <v>0.96199999999999997</v>
      </c>
      <c r="I107">
        <v>20.32</v>
      </c>
      <c r="J107">
        <v>138</v>
      </c>
      <c r="K107">
        <v>1</v>
      </c>
      <c r="L107">
        <v>1.06</v>
      </c>
      <c r="M107">
        <v>0.94</v>
      </c>
    </row>
    <row r="108" spans="1:13" x14ac:dyDescent="0.15">
      <c r="A108">
        <v>107</v>
      </c>
      <c r="B108">
        <v>2</v>
      </c>
      <c r="C108">
        <v>50</v>
      </c>
      <c r="D108">
        <v>12</v>
      </c>
      <c r="E108">
        <v>0</v>
      </c>
      <c r="F108">
        <v>6</v>
      </c>
      <c r="G108">
        <v>1</v>
      </c>
      <c r="H108">
        <v>0.95199999999999996</v>
      </c>
      <c r="I108">
        <v>17.53</v>
      </c>
      <c r="J108">
        <v>138</v>
      </c>
      <c r="K108">
        <v>1</v>
      </c>
      <c r="L108">
        <v>1.06</v>
      </c>
      <c r="M108">
        <v>0.94</v>
      </c>
    </row>
    <row r="109" spans="1:13" x14ac:dyDescent="0.15">
      <c r="A109">
        <v>108</v>
      </c>
      <c r="B109">
        <v>1</v>
      </c>
      <c r="C109">
        <v>2</v>
      </c>
      <c r="D109">
        <v>1</v>
      </c>
      <c r="E109">
        <v>0</v>
      </c>
      <c r="F109">
        <v>0</v>
      </c>
      <c r="G109">
        <v>1</v>
      </c>
      <c r="H109">
        <v>0.96699999999999997</v>
      </c>
      <c r="I109">
        <v>19.38</v>
      </c>
      <c r="J109">
        <v>138</v>
      </c>
      <c r="K109">
        <v>1</v>
      </c>
      <c r="L109">
        <v>1.06</v>
      </c>
      <c r="M109">
        <v>0.94</v>
      </c>
    </row>
    <row r="110" spans="1:13" x14ac:dyDescent="0.15">
      <c r="A110">
        <v>109</v>
      </c>
      <c r="B110">
        <v>1</v>
      </c>
      <c r="C110">
        <v>8</v>
      </c>
      <c r="D110">
        <v>3</v>
      </c>
      <c r="E110">
        <v>0</v>
      </c>
      <c r="F110">
        <v>0</v>
      </c>
      <c r="G110">
        <v>1</v>
      </c>
      <c r="H110">
        <v>0.96699999999999997</v>
      </c>
      <c r="I110">
        <v>18.93</v>
      </c>
      <c r="J110">
        <v>138</v>
      </c>
      <c r="K110">
        <v>1</v>
      </c>
      <c r="L110">
        <v>1.06</v>
      </c>
      <c r="M110">
        <v>0.94</v>
      </c>
    </row>
    <row r="111" spans="1:13" x14ac:dyDescent="0.15">
      <c r="A111">
        <v>110</v>
      </c>
      <c r="B111">
        <v>2</v>
      </c>
      <c r="C111">
        <v>39</v>
      </c>
      <c r="D111">
        <v>30</v>
      </c>
      <c r="E111">
        <v>0</v>
      </c>
      <c r="F111">
        <v>6</v>
      </c>
      <c r="G111">
        <v>1</v>
      </c>
      <c r="H111">
        <v>0.97299999999999998</v>
      </c>
      <c r="I111">
        <v>18.09</v>
      </c>
      <c r="J111">
        <v>138</v>
      </c>
      <c r="K111">
        <v>1</v>
      </c>
      <c r="L111">
        <v>1.06</v>
      </c>
      <c r="M111">
        <v>0.94</v>
      </c>
    </row>
    <row r="112" spans="1:13" x14ac:dyDescent="0.15">
      <c r="A112">
        <v>111</v>
      </c>
      <c r="B112">
        <v>2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0.98</v>
      </c>
      <c r="I112">
        <v>19.739999999999998</v>
      </c>
      <c r="J112">
        <v>138</v>
      </c>
      <c r="K112">
        <v>1</v>
      </c>
      <c r="L112">
        <v>1.06</v>
      </c>
      <c r="M112">
        <v>0.94</v>
      </c>
    </row>
    <row r="113" spans="1:13" x14ac:dyDescent="0.15">
      <c r="A113">
        <v>112</v>
      </c>
      <c r="B113">
        <v>2</v>
      </c>
      <c r="C113">
        <v>68</v>
      </c>
      <c r="D113">
        <v>13</v>
      </c>
      <c r="E113">
        <v>0</v>
      </c>
      <c r="F113">
        <v>0</v>
      </c>
      <c r="G113">
        <v>1</v>
      </c>
      <c r="H113">
        <v>0.97499999999999998</v>
      </c>
      <c r="I113">
        <v>14.99</v>
      </c>
      <c r="J113">
        <v>138</v>
      </c>
      <c r="K113">
        <v>1</v>
      </c>
      <c r="L113">
        <v>1.06</v>
      </c>
      <c r="M113">
        <v>0.94</v>
      </c>
    </row>
    <row r="114" spans="1:13" x14ac:dyDescent="0.15">
      <c r="A114">
        <v>113</v>
      </c>
      <c r="B114">
        <v>2</v>
      </c>
      <c r="C114">
        <v>6</v>
      </c>
      <c r="D114">
        <v>0</v>
      </c>
      <c r="E114">
        <v>0</v>
      </c>
      <c r="F114">
        <v>0</v>
      </c>
      <c r="G114">
        <v>1</v>
      </c>
      <c r="H114">
        <v>0.99299999999999999</v>
      </c>
      <c r="I114">
        <v>13.74</v>
      </c>
      <c r="J114">
        <v>138</v>
      </c>
      <c r="K114">
        <v>1</v>
      </c>
      <c r="L114">
        <v>1.06</v>
      </c>
      <c r="M114">
        <v>0.94</v>
      </c>
    </row>
    <row r="115" spans="1:13" x14ac:dyDescent="0.15">
      <c r="A115">
        <v>114</v>
      </c>
      <c r="B115">
        <v>1</v>
      </c>
      <c r="C115">
        <v>8</v>
      </c>
      <c r="D115">
        <v>3</v>
      </c>
      <c r="E115">
        <v>0</v>
      </c>
      <c r="F115">
        <v>0</v>
      </c>
      <c r="G115">
        <v>1</v>
      </c>
      <c r="H115">
        <v>0.96</v>
      </c>
      <c r="I115">
        <v>14.46</v>
      </c>
      <c r="J115">
        <v>138</v>
      </c>
      <c r="K115">
        <v>1</v>
      </c>
      <c r="L115">
        <v>1.06</v>
      </c>
      <c r="M115">
        <v>0.94</v>
      </c>
    </row>
    <row r="116" spans="1:13" x14ac:dyDescent="0.15">
      <c r="A116">
        <v>115</v>
      </c>
      <c r="B116">
        <v>1</v>
      </c>
      <c r="C116">
        <v>22</v>
      </c>
      <c r="D116">
        <v>7</v>
      </c>
      <c r="E116">
        <v>0</v>
      </c>
      <c r="F116">
        <v>0</v>
      </c>
      <c r="G116">
        <v>1</v>
      </c>
      <c r="H116">
        <v>0.96</v>
      </c>
      <c r="I116">
        <v>14.46</v>
      </c>
      <c r="J116">
        <v>138</v>
      </c>
      <c r="K116">
        <v>1</v>
      </c>
      <c r="L116">
        <v>1.06</v>
      </c>
      <c r="M116">
        <v>0.94</v>
      </c>
    </row>
    <row r="117" spans="1:13" x14ac:dyDescent="0.15">
      <c r="A117">
        <v>116</v>
      </c>
      <c r="B117">
        <v>2</v>
      </c>
      <c r="C117">
        <v>184</v>
      </c>
      <c r="D117">
        <v>0</v>
      </c>
      <c r="E117">
        <v>0</v>
      </c>
      <c r="F117">
        <v>0</v>
      </c>
      <c r="G117">
        <v>1</v>
      </c>
      <c r="H117">
        <v>1.0049999999999999</v>
      </c>
      <c r="I117">
        <v>27.12</v>
      </c>
      <c r="J117">
        <v>138</v>
      </c>
      <c r="K117">
        <v>1</v>
      </c>
      <c r="L117">
        <v>1.06</v>
      </c>
      <c r="M117">
        <v>0.94</v>
      </c>
    </row>
    <row r="118" spans="1:13" x14ac:dyDescent="0.15">
      <c r="A118">
        <v>117</v>
      </c>
      <c r="B118">
        <v>1</v>
      </c>
      <c r="C118">
        <v>20</v>
      </c>
      <c r="D118">
        <v>8</v>
      </c>
      <c r="E118">
        <v>0</v>
      </c>
      <c r="F118">
        <v>0</v>
      </c>
      <c r="G118">
        <v>1</v>
      </c>
      <c r="H118">
        <v>0.97399999999999998</v>
      </c>
      <c r="I118">
        <v>10.67</v>
      </c>
      <c r="J118">
        <v>138</v>
      </c>
      <c r="K118">
        <v>1</v>
      </c>
      <c r="L118">
        <v>1.06</v>
      </c>
      <c r="M118">
        <v>0.94</v>
      </c>
    </row>
    <row r="119" spans="1:13" x14ac:dyDescent="0.15">
      <c r="A119">
        <v>118</v>
      </c>
      <c r="B119">
        <v>1</v>
      </c>
      <c r="C119">
        <v>33</v>
      </c>
      <c r="D119">
        <v>15</v>
      </c>
      <c r="E119">
        <v>0</v>
      </c>
      <c r="F119">
        <v>0</v>
      </c>
      <c r="G119">
        <v>1</v>
      </c>
      <c r="H119">
        <v>0.94899999999999995</v>
      </c>
      <c r="I119">
        <v>21.92</v>
      </c>
      <c r="J119">
        <v>138</v>
      </c>
      <c r="K119">
        <v>1</v>
      </c>
      <c r="L119">
        <v>1.06</v>
      </c>
      <c r="M119">
        <v>0.94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7"/>
  <sheetViews>
    <sheetView workbookViewId="0">
      <pane ySplit="1" topLeftCell="A2" activePane="bottomLeft" state="frozen"/>
      <selection pane="bottomLeft" activeCell="D183" sqref="D183"/>
    </sheetView>
  </sheetViews>
  <sheetFormatPr defaultRowHeight="13.5" x14ac:dyDescent="0.15"/>
  <cols>
    <col min="1" max="1" width="14" customWidth="1"/>
    <col min="2" max="4" width="12" customWidth="1"/>
    <col min="5" max="5" width="22" customWidth="1"/>
    <col min="6" max="6" width="21" customWidth="1"/>
  </cols>
  <sheetData>
    <row r="1" spans="1:6" x14ac:dyDescent="0.15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45</v>
      </c>
    </row>
    <row r="2" spans="1:6" x14ac:dyDescent="0.15">
      <c r="A2">
        <v>1</v>
      </c>
      <c r="B2">
        <v>1</v>
      </c>
      <c r="C2">
        <v>2</v>
      </c>
      <c r="D2">
        <v>9.9900000000000003E-2</v>
      </c>
      <c r="E2">
        <v>3.9960000000000002E-2</v>
      </c>
      <c r="F2" t="b">
        <v>0</v>
      </c>
    </row>
    <row r="3" spans="1:6" x14ac:dyDescent="0.15">
      <c r="A3">
        <v>2</v>
      </c>
      <c r="B3">
        <v>1</v>
      </c>
      <c r="C3">
        <v>3</v>
      </c>
      <c r="D3">
        <v>4.24E-2</v>
      </c>
      <c r="E3">
        <v>1.6959999999999999E-2</v>
      </c>
      <c r="F3" t="b">
        <v>0</v>
      </c>
    </row>
    <row r="4" spans="1:6" x14ac:dyDescent="0.15">
      <c r="A4">
        <v>3</v>
      </c>
      <c r="B4">
        <v>4</v>
      </c>
      <c r="C4">
        <v>5</v>
      </c>
      <c r="D4">
        <v>7.9799999999999992E-3</v>
      </c>
      <c r="E4">
        <v>3.192E-3</v>
      </c>
      <c r="F4" t="b">
        <v>0</v>
      </c>
    </row>
    <row r="5" spans="1:6" x14ac:dyDescent="0.15">
      <c r="A5">
        <v>4</v>
      </c>
      <c r="B5">
        <v>3</v>
      </c>
      <c r="C5">
        <v>5</v>
      </c>
      <c r="D5">
        <v>0.108</v>
      </c>
      <c r="E5">
        <v>4.3200000000000002E-2</v>
      </c>
      <c r="F5" t="b">
        <v>0</v>
      </c>
    </row>
    <row r="6" spans="1:6" x14ac:dyDescent="0.15">
      <c r="A6">
        <v>5</v>
      </c>
      <c r="B6">
        <v>5</v>
      </c>
      <c r="C6">
        <v>6</v>
      </c>
      <c r="D6">
        <v>5.3999999999999999E-2</v>
      </c>
      <c r="E6">
        <v>2.1600000000000001E-2</v>
      </c>
      <c r="F6" t="b">
        <v>0</v>
      </c>
    </row>
    <row r="7" spans="1:6" x14ac:dyDescent="0.15">
      <c r="A7">
        <v>6</v>
      </c>
      <c r="B7">
        <v>6</v>
      </c>
      <c r="C7">
        <v>7</v>
      </c>
      <c r="D7">
        <v>2.0799999999999999E-2</v>
      </c>
      <c r="E7">
        <v>8.3199999999999993E-3</v>
      </c>
      <c r="F7" t="b">
        <v>0</v>
      </c>
    </row>
    <row r="8" spans="1:6" x14ac:dyDescent="0.15">
      <c r="A8">
        <v>7</v>
      </c>
      <c r="B8">
        <v>8</v>
      </c>
      <c r="C8">
        <v>9</v>
      </c>
      <c r="D8">
        <v>3.0499999999999999E-2</v>
      </c>
      <c r="E8">
        <v>1.2200000000000001E-2</v>
      </c>
      <c r="F8" t="b">
        <v>1</v>
      </c>
    </row>
    <row r="9" spans="1:6" x14ac:dyDescent="0.15">
      <c r="A9">
        <v>8</v>
      </c>
      <c r="B9">
        <v>8</v>
      </c>
      <c r="C9">
        <v>5</v>
      </c>
      <c r="D9">
        <v>2.6700000000000002E-2</v>
      </c>
      <c r="E9">
        <v>1.068E-2</v>
      </c>
      <c r="F9" t="b">
        <v>1</v>
      </c>
    </row>
    <row r="10" spans="1:6" x14ac:dyDescent="0.15">
      <c r="A10">
        <v>9</v>
      </c>
      <c r="B10">
        <v>9</v>
      </c>
      <c r="C10">
        <v>10</v>
      </c>
      <c r="D10">
        <v>3.2199999999999999E-2</v>
      </c>
      <c r="E10">
        <v>1.2880000000000001E-2</v>
      </c>
      <c r="F10" t="b">
        <v>1</v>
      </c>
    </row>
    <row r="11" spans="1:6" x14ac:dyDescent="0.15">
      <c r="A11">
        <v>10</v>
      </c>
      <c r="B11">
        <v>4</v>
      </c>
      <c r="C11">
        <v>11</v>
      </c>
      <c r="D11">
        <v>6.88E-2</v>
      </c>
      <c r="E11">
        <v>2.7519999999999999E-2</v>
      </c>
      <c r="F11" t="b">
        <v>1</v>
      </c>
    </row>
    <row r="12" spans="1:6" x14ac:dyDescent="0.15">
      <c r="A12">
        <v>11</v>
      </c>
      <c r="B12">
        <v>5</v>
      </c>
      <c r="C12">
        <v>11</v>
      </c>
      <c r="D12">
        <v>6.8199999999999997E-2</v>
      </c>
      <c r="E12">
        <v>2.7279999999999999E-2</v>
      </c>
      <c r="F12" t="b">
        <v>1</v>
      </c>
    </row>
    <row r="13" spans="1:6" x14ac:dyDescent="0.15">
      <c r="A13">
        <v>12</v>
      </c>
      <c r="B13">
        <v>11</v>
      </c>
      <c r="C13">
        <v>12</v>
      </c>
      <c r="D13">
        <v>1.9599999999999999E-2</v>
      </c>
      <c r="E13">
        <v>7.8399999999999997E-3</v>
      </c>
      <c r="F13" t="b">
        <v>1</v>
      </c>
    </row>
    <row r="14" spans="1:6" x14ac:dyDescent="0.15">
      <c r="A14">
        <v>13</v>
      </c>
      <c r="B14">
        <v>2</v>
      </c>
      <c r="C14">
        <v>12</v>
      </c>
      <c r="D14">
        <v>6.1600000000000002E-2</v>
      </c>
      <c r="E14">
        <v>2.4639999999999999E-2</v>
      </c>
      <c r="F14" t="b">
        <v>0</v>
      </c>
    </row>
    <row r="15" spans="1:6" x14ac:dyDescent="0.15">
      <c r="A15">
        <v>14</v>
      </c>
      <c r="B15">
        <v>3</v>
      </c>
      <c r="C15">
        <v>12</v>
      </c>
      <c r="D15">
        <v>0.16</v>
      </c>
      <c r="E15">
        <v>6.4000000000000001E-2</v>
      </c>
      <c r="F15" t="b">
        <v>0</v>
      </c>
    </row>
    <row r="16" spans="1:6" x14ac:dyDescent="0.15">
      <c r="A16">
        <v>15</v>
      </c>
      <c r="B16">
        <v>7</v>
      </c>
      <c r="C16">
        <v>12</v>
      </c>
      <c r="D16">
        <v>3.4000000000000002E-2</v>
      </c>
      <c r="E16">
        <v>1.3599999999999999E-2</v>
      </c>
      <c r="F16" t="b">
        <v>0</v>
      </c>
    </row>
    <row r="17" spans="1:6" x14ac:dyDescent="0.15">
      <c r="A17">
        <v>16</v>
      </c>
      <c r="B17">
        <v>11</v>
      </c>
      <c r="C17">
        <v>13</v>
      </c>
      <c r="D17">
        <v>7.3099999999999998E-2</v>
      </c>
      <c r="E17">
        <v>2.9239999999999999E-2</v>
      </c>
      <c r="F17" t="b">
        <v>1</v>
      </c>
    </row>
    <row r="18" spans="1:6" x14ac:dyDescent="0.15">
      <c r="A18">
        <v>17</v>
      </c>
      <c r="B18">
        <v>12</v>
      </c>
      <c r="C18">
        <v>14</v>
      </c>
      <c r="D18">
        <v>7.0699999999999999E-2</v>
      </c>
      <c r="E18">
        <v>2.828E-2</v>
      </c>
      <c r="F18" t="b">
        <v>0</v>
      </c>
    </row>
    <row r="19" spans="1:6" x14ac:dyDescent="0.15">
      <c r="A19">
        <v>18</v>
      </c>
      <c r="B19">
        <v>13</v>
      </c>
      <c r="C19">
        <v>15</v>
      </c>
      <c r="D19">
        <v>0.24440000000000001</v>
      </c>
      <c r="E19">
        <v>9.7760000000000014E-2</v>
      </c>
      <c r="F19" t="b">
        <v>0</v>
      </c>
    </row>
    <row r="20" spans="1:6" x14ac:dyDescent="0.15">
      <c r="A20">
        <v>19</v>
      </c>
      <c r="B20">
        <v>14</v>
      </c>
      <c r="C20">
        <v>15</v>
      </c>
      <c r="D20">
        <v>0.19500000000000001</v>
      </c>
      <c r="E20">
        <v>7.8000000000000014E-2</v>
      </c>
      <c r="F20" t="b">
        <v>0</v>
      </c>
    </row>
    <row r="21" spans="1:6" x14ac:dyDescent="0.15">
      <c r="A21">
        <v>20</v>
      </c>
      <c r="B21">
        <v>12</v>
      </c>
      <c r="C21">
        <v>16</v>
      </c>
      <c r="D21">
        <v>8.3400000000000002E-2</v>
      </c>
      <c r="E21">
        <v>3.3360000000000001E-2</v>
      </c>
      <c r="F21" t="b">
        <v>0</v>
      </c>
    </row>
    <row r="22" spans="1:6" x14ac:dyDescent="0.15">
      <c r="A22">
        <v>21</v>
      </c>
      <c r="B22">
        <v>15</v>
      </c>
      <c r="C22">
        <v>17</v>
      </c>
      <c r="D22">
        <v>4.3700000000000003E-2</v>
      </c>
      <c r="E22">
        <v>1.7479999999999999E-2</v>
      </c>
      <c r="F22" t="b">
        <v>0</v>
      </c>
    </row>
    <row r="23" spans="1:6" x14ac:dyDescent="0.15">
      <c r="A23">
        <v>22</v>
      </c>
      <c r="B23">
        <v>16</v>
      </c>
      <c r="C23">
        <v>17</v>
      </c>
      <c r="D23">
        <v>0.18010000000000001</v>
      </c>
      <c r="E23">
        <v>7.2040000000000007E-2</v>
      </c>
      <c r="F23" t="b">
        <v>0</v>
      </c>
    </row>
    <row r="24" spans="1:6" x14ac:dyDescent="0.15">
      <c r="A24">
        <v>23</v>
      </c>
      <c r="B24">
        <v>17</v>
      </c>
      <c r="C24">
        <v>18</v>
      </c>
      <c r="D24">
        <v>5.0500000000000003E-2</v>
      </c>
      <c r="E24">
        <v>2.0199999999999999E-2</v>
      </c>
      <c r="F24" t="b">
        <v>0</v>
      </c>
    </row>
    <row r="25" spans="1:6" x14ac:dyDescent="0.15">
      <c r="A25">
        <v>24</v>
      </c>
      <c r="B25">
        <v>18</v>
      </c>
      <c r="C25">
        <v>19</v>
      </c>
      <c r="D25">
        <v>4.9299999999999997E-2</v>
      </c>
      <c r="E25">
        <v>1.9720000000000001E-2</v>
      </c>
      <c r="F25" t="b">
        <v>0</v>
      </c>
    </row>
    <row r="26" spans="1:6" x14ac:dyDescent="0.15">
      <c r="A26">
        <v>25</v>
      </c>
      <c r="B26">
        <v>19</v>
      </c>
      <c r="C26">
        <v>20</v>
      </c>
      <c r="D26">
        <v>0.11700000000000001</v>
      </c>
      <c r="E26">
        <v>4.6800000000000008E-2</v>
      </c>
      <c r="F26" t="b">
        <v>0</v>
      </c>
    </row>
    <row r="27" spans="1:6" x14ac:dyDescent="0.15">
      <c r="A27">
        <v>26</v>
      </c>
      <c r="B27">
        <v>15</v>
      </c>
      <c r="C27">
        <v>19</v>
      </c>
      <c r="D27">
        <v>3.9399999999999998E-2</v>
      </c>
      <c r="E27">
        <v>1.576E-2</v>
      </c>
      <c r="F27" t="b">
        <v>0</v>
      </c>
    </row>
    <row r="28" spans="1:6" x14ac:dyDescent="0.15">
      <c r="A28">
        <v>27</v>
      </c>
      <c r="B28">
        <v>20</v>
      </c>
      <c r="C28">
        <v>21</v>
      </c>
      <c r="D28">
        <v>8.4900000000000003E-2</v>
      </c>
      <c r="E28">
        <v>3.3959999999999997E-2</v>
      </c>
      <c r="F28" t="b">
        <v>0</v>
      </c>
    </row>
    <row r="29" spans="1:6" x14ac:dyDescent="0.15">
      <c r="A29">
        <v>28</v>
      </c>
      <c r="B29">
        <v>21</v>
      </c>
      <c r="C29">
        <v>22</v>
      </c>
      <c r="D29">
        <v>9.7000000000000003E-2</v>
      </c>
      <c r="E29">
        <v>3.8800000000000001E-2</v>
      </c>
      <c r="F29" t="b">
        <v>0</v>
      </c>
    </row>
    <row r="30" spans="1:6" x14ac:dyDescent="0.15">
      <c r="A30">
        <v>29</v>
      </c>
      <c r="B30">
        <v>22</v>
      </c>
      <c r="C30">
        <v>23</v>
      </c>
      <c r="D30">
        <v>0.159</v>
      </c>
      <c r="E30">
        <v>6.3600000000000004E-2</v>
      </c>
      <c r="F30" t="b">
        <v>0</v>
      </c>
    </row>
    <row r="31" spans="1:6" x14ac:dyDescent="0.15">
      <c r="A31">
        <v>30</v>
      </c>
      <c r="B31">
        <v>23</v>
      </c>
      <c r="C31">
        <v>24</v>
      </c>
      <c r="D31">
        <v>4.9200000000000001E-2</v>
      </c>
      <c r="E31">
        <v>1.968E-2</v>
      </c>
      <c r="F31" t="b">
        <v>0</v>
      </c>
    </row>
    <row r="32" spans="1:6" x14ac:dyDescent="0.15">
      <c r="A32">
        <v>31</v>
      </c>
      <c r="B32">
        <v>23</v>
      </c>
      <c r="C32">
        <v>25</v>
      </c>
      <c r="D32">
        <v>0.08</v>
      </c>
      <c r="E32">
        <v>3.2000000000000001E-2</v>
      </c>
      <c r="F32" t="b">
        <v>0</v>
      </c>
    </row>
    <row r="33" spans="1:6" x14ac:dyDescent="0.15">
      <c r="A33">
        <v>32</v>
      </c>
      <c r="B33">
        <v>26</v>
      </c>
      <c r="C33">
        <v>25</v>
      </c>
      <c r="D33">
        <v>3.8199999999999998E-2</v>
      </c>
      <c r="E33">
        <v>1.528E-2</v>
      </c>
      <c r="F33" t="b">
        <v>0</v>
      </c>
    </row>
    <row r="34" spans="1:6" x14ac:dyDescent="0.15">
      <c r="A34">
        <v>33</v>
      </c>
      <c r="B34">
        <v>25</v>
      </c>
      <c r="C34">
        <v>27</v>
      </c>
      <c r="D34">
        <v>0.16300000000000001</v>
      </c>
      <c r="E34">
        <v>6.5200000000000008E-2</v>
      </c>
      <c r="F34" t="b">
        <v>0</v>
      </c>
    </row>
    <row r="35" spans="1:6" x14ac:dyDescent="0.15">
      <c r="A35">
        <v>34</v>
      </c>
      <c r="B35">
        <v>27</v>
      </c>
      <c r="C35">
        <v>28</v>
      </c>
      <c r="D35">
        <v>8.5500000000000007E-2</v>
      </c>
      <c r="E35">
        <v>3.4200000000000001E-2</v>
      </c>
      <c r="F35" t="b">
        <v>0</v>
      </c>
    </row>
    <row r="36" spans="1:6" x14ac:dyDescent="0.15">
      <c r="A36">
        <v>35</v>
      </c>
      <c r="B36">
        <v>28</v>
      </c>
      <c r="C36">
        <v>29</v>
      </c>
      <c r="D36">
        <v>9.4299999999999995E-2</v>
      </c>
      <c r="E36">
        <v>3.7719999999999997E-2</v>
      </c>
      <c r="F36" t="b">
        <v>0</v>
      </c>
    </row>
    <row r="37" spans="1:6" x14ac:dyDescent="0.15">
      <c r="A37">
        <v>36</v>
      </c>
      <c r="B37">
        <v>30</v>
      </c>
      <c r="C37">
        <v>17</v>
      </c>
      <c r="D37">
        <v>3.8800000000000001E-2</v>
      </c>
      <c r="E37">
        <v>1.5520000000000001E-2</v>
      </c>
      <c r="F37" t="b">
        <v>1</v>
      </c>
    </row>
    <row r="38" spans="1:6" x14ac:dyDescent="0.15">
      <c r="A38">
        <v>37</v>
      </c>
      <c r="B38">
        <v>8</v>
      </c>
      <c r="C38">
        <v>30</v>
      </c>
      <c r="D38">
        <v>5.04E-2</v>
      </c>
      <c r="E38">
        <v>2.0160000000000001E-2</v>
      </c>
      <c r="F38" t="b">
        <v>1</v>
      </c>
    </row>
    <row r="39" spans="1:6" x14ac:dyDescent="0.15">
      <c r="A39">
        <v>38</v>
      </c>
      <c r="B39">
        <v>26</v>
      </c>
      <c r="C39">
        <v>30</v>
      </c>
      <c r="D39">
        <v>8.5999999999999993E-2</v>
      </c>
      <c r="E39">
        <v>3.44E-2</v>
      </c>
      <c r="F39" t="b">
        <v>1</v>
      </c>
    </row>
    <row r="40" spans="1:6" x14ac:dyDescent="0.15">
      <c r="A40">
        <v>39</v>
      </c>
      <c r="B40">
        <v>17</v>
      </c>
      <c r="C40">
        <v>31</v>
      </c>
      <c r="D40">
        <v>0.15629999999999999</v>
      </c>
      <c r="E40">
        <v>6.2520000000000006E-2</v>
      </c>
      <c r="F40" t="b">
        <v>0</v>
      </c>
    </row>
    <row r="41" spans="1:6" x14ac:dyDescent="0.15">
      <c r="A41">
        <v>40</v>
      </c>
      <c r="B41">
        <v>29</v>
      </c>
      <c r="C41">
        <v>31</v>
      </c>
      <c r="D41">
        <v>3.3099999999999997E-2</v>
      </c>
      <c r="E41">
        <v>1.324E-2</v>
      </c>
      <c r="F41" t="b">
        <v>0</v>
      </c>
    </row>
    <row r="42" spans="1:6" x14ac:dyDescent="0.15">
      <c r="A42">
        <v>41</v>
      </c>
      <c r="B42">
        <v>23</v>
      </c>
      <c r="C42">
        <v>32</v>
      </c>
      <c r="D42">
        <v>0.1153</v>
      </c>
      <c r="E42">
        <v>4.6120000000000001E-2</v>
      </c>
      <c r="F42" t="b">
        <v>0</v>
      </c>
    </row>
    <row r="43" spans="1:6" x14ac:dyDescent="0.15">
      <c r="A43">
        <v>42</v>
      </c>
      <c r="B43">
        <v>31</v>
      </c>
      <c r="C43">
        <v>32</v>
      </c>
      <c r="D43">
        <v>9.8500000000000004E-2</v>
      </c>
      <c r="E43">
        <v>3.9399999999999998E-2</v>
      </c>
      <c r="F43" t="b">
        <v>0</v>
      </c>
    </row>
    <row r="44" spans="1:6" x14ac:dyDescent="0.15">
      <c r="A44">
        <v>43</v>
      </c>
      <c r="B44">
        <v>27</v>
      </c>
      <c r="C44">
        <v>32</v>
      </c>
      <c r="D44">
        <v>7.5499999999999998E-2</v>
      </c>
      <c r="E44">
        <v>3.0200000000000001E-2</v>
      </c>
      <c r="F44" t="b">
        <v>0</v>
      </c>
    </row>
    <row r="45" spans="1:6" x14ac:dyDescent="0.15">
      <c r="A45">
        <v>44</v>
      </c>
      <c r="B45">
        <v>15</v>
      </c>
      <c r="C45">
        <v>33</v>
      </c>
      <c r="D45">
        <v>0.1244</v>
      </c>
      <c r="E45">
        <v>4.9759999999999999E-2</v>
      </c>
      <c r="F45" t="b">
        <v>0</v>
      </c>
    </row>
    <row r="46" spans="1:6" x14ac:dyDescent="0.15">
      <c r="A46">
        <v>45</v>
      </c>
      <c r="B46">
        <v>19</v>
      </c>
      <c r="C46">
        <v>34</v>
      </c>
      <c r="D46">
        <v>0.247</v>
      </c>
      <c r="E46">
        <v>9.8799999999999999E-2</v>
      </c>
      <c r="F46" t="b">
        <v>0</v>
      </c>
    </row>
    <row r="47" spans="1:6" x14ac:dyDescent="0.15">
      <c r="A47">
        <v>46</v>
      </c>
      <c r="B47">
        <v>35</v>
      </c>
      <c r="C47">
        <v>36</v>
      </c>
      <c r="D47">
        <v>1.0200000000000001E-2</v>
      </c>
      <c r="E47">
        <v>4.0800000000000003E-3</v>
      </c>
      <c r="F47" t="b">
        <v>0</v>
      </c>
    </row>
    <row r="48" spans="1:6" x14ac:dyDescent="0.15">
      <c r="A48">
        <v>47</v>
      </c>
      <c r="B48">
        <v>35</v>
      </c>
      <c r="C48">
        <v>37</v>
      </c>
      <c r="D48">
        <v>4.9700000000000001E-2</v>
      </c>
      <c r="E48">
        <v>1.9879999999999998E-2</v>
      </c>
      <c r="F48" t="b">
        <v>0</v>
      </c>
    </row>
    <row r="49" spans="1:6" x14ac:dyDescent="0.15">
      <c r="A49">
        <v>48</v>
      </c>
      <c r="B49">
        <v>33</v>
      </c>
      <c r="C49">
        <v>37</v>
      </c>
      <c r="D49">
        <v>0.14199999999999999</v>
      </c>
      <c r="E49">
        <v>5.6800000000000003E-2</v>
      </c>
      <c r="F49" t="b">
        <v>0</v>
      </c>
    </row>
    <row r="50" spans="1:6" x14ac:dyDescent="0.15">
      <c r="A50">
        <v>49</v>
      </c>
      <c r="B50">
        <v>34</v>
      </c>
      <c r="C50">
        <v>36</v>
      </c>
      <c r="D50">
        <v>2.6800000000000001E-2</v>
      </c>
      <c r="E50">
        <v>1.072E-2</v>
      </c>
      <c r="F50" t="b">
        <v>0</v>
      </c>
    </row>
    <row r="51" spans="1:6" x14ac:dyDescent="0.15">
      <c r="A51">
        <v>50</v>
      </c>
      <c r="B51">
        <v>34</v>
      </c>
      <c r="C51">
        <v>37</v>
      </c>
      <c r="D51">
        <v>9.4000000000000004E-3</v>
      </c>
      <c r="E51">
        <v>3.7599999999999999E-3</v>
      </c>
      <c r="F51" t="b">
        <v>0</v>
      </c>
    </row>
    <row r="52" spans="1:6" x14ac:dyDescent="0.15">
      <c r="A52">
        <v>51</v>
      </c>
      <c r="B52">
        <v>38</v>
      </c>
      <c r="C52">
        <v>37</v>
      </c>
      <c r="D52">
        <v>3.7499999999999999E-2</v>
      </c>
      <c r="E52">
        <v>1.4999999999999999E-2</v>
      </c>
      <c r="F52" t="b">
        <v>0</v>
      </c>
    </row>
    <row r="53" spans="1:6" x14ac:dyDescent="0.15">
      <c r="A53">
        <v>52</v>
      </c>
      <c r="B53">
        <v>37</v>
      </c>
      <c r="C53">
        <v>39</v>
      </c>
      <c r="D53">
        <v>0.106</v>
      </c>
      <c r="E53">
        <v>4.24E-2</v>
      </c>
      <c r="F53" t="b">
        <v>0</v>
      </c>
    </row>
    <row r="54" spans="1:6" x14ac:dyDescent="0.15">
      <c r="A54">
        <v>53</v>
      </c>
      <c r="B54">
        <v>37</v>
      </c>
      <c r="C54">
        <v>40</v>
      </c>
      <c r="D54">
        <v>0.16800000000000001</v>
      </c>
      <c r="E54">
        <v>6.720000000000001E-2</v>
      </c>
      <c r="F54" t="b">
        <v>0</v>
      </c>
    </row>
    <row r="55" spans="1:6" x14ac:dyDescent="0.15">
      <c r="A55">
        <v>54</v>
      </c>
      <c r="B55">
        <v>30</v>
      </c>
      <c r="C55">
        <v>38</v>
      </c>
      <c r="D55">
        <v>5.3999999999999999E-2</v>
      </c>
      <c r="E55">
        <v>2.1600000000000001E-2</v>
      </c>
      <c r="F55" t="b">
        <v>1</v>
      </c>
    </row>
    <row r="56" spans="1:6" x14ac:dyDescent="0.15">
      <c r="A56">
        <v>55</v>
      </c>
      <c r="B56">
        <v>39</v>
      </c>
      <c r="C56">
        <v>40</v>
      </c>
      <c r="D56">
        <v>6.0499999999999998E-2</v>
      </c>
      <c r="E56">
        <v>2.4199999999999999E-2</v>
      </c>
      <c r="F56" t="b">
        <v>0</v>
      </c>
    </row>
    <row r="57" spans="1:6" x14ac:dyDescent="0.15">
      <c r="A57">
        <v>56</v>
      </c>
      <c r="B57">
        <v>40</v>
      </c>
      <c r="C57">
        <v>41</v>
      </c>
      <c r="D57">
        <v>4.87E-2</v>
      </c>
      <c r="E57">
        <v>1.9480000000000001E-2</v>
      </c>
      <c r="F57" t="b">
        <v>0</v>
      </c>
    </row>
    <row r="58" spans="1:6" x14ac:dyDescent="0.15">
      <c r="A58">
        <v>57</v>
      </c>
      <c r="B58">
        <v>40</v>
      </c>
      <c r="C58">
        <v>42</v>
      </c>
      <c r="D58">
        <v>0.183</v>
      </c>
      <c r="E58">
        <v>7.3200000000000001E-2</v>
      </c>
      <c r="F58" t="b">
        <v>0</v>
      </c>
    </row>
    <row r="59" spans="1:6" x14ac:dyDescent="0.15">
      <c r="A59">
        <v>58</v>
      </c>
      <c r="B59">
        <v>41</v>
      </c>
      <c r="C59">
        <v>42</v>
      </c>
      <c r="D59">
        <v>0.13500000000000001</v>
      </c>
      <c r="E59">
        <v>5.4000000000000013E-2</v>
      </c>
      <c r="F59" t="b">
        <v>0</v>
      </c>
    </row>
    <row r="60" spans="1:6" x14ac:dyDescent="0.15">
      <c r="A60">
        <v>59</v>
      </c>
      <c r="B60">
        <v>43</v>
      </c>
      <c r="C60">
        <v>44</v>
      </c>
      <c r="D60">
        <v>0.24540000000000001</v>
      </c>
      <c r="E60">
        <v>9.8160000000000011E-2</v>
      </c>
      <c r="F60" t="b">
        <v>0</v>
      </c>
    </row>
    <row r="61" spans="1:6" x14ac:dyDescent="0.15">
      <c r="A61">
        <v>60</v>
      </c>
      <c r="B61">
        <v>34</v>
      </c>
      <c r="C61">
        <v>43</v>
      </c>
      <c r="D61">
        <v>0.1681</v>
      </c>
      <c r="E61">
        <v>6.7240000000000008E-2</v>
      </c>
      <c r="F61" t="b">
        <v>0</v>
      </c>
    </row>
    <row r="62" spans="1:6" x14ac:dyDescent="0.15">
      <c r="A62">
        <v>61</v>
      </c>
      <c r="B62">
        <v>44</v>
      </c>
      <c r="C62">
        <v>45</v>
      </c>
      <c r="D62">
        <v>9.01E-2</v>
      </c>
      <c r="E62">
        <v>3.6040000000000003E-2</v>
      </c>
      <c r="F62" t="b">
        <v>0</v>
      </c>
    </row>
    <row r="63" spans="1:6" x14ac:dyDescent="0.15">
      <c r="A63">
        <v>62</v>
      </c>
      <c r="B63">
        <v>45</v>
      </c>
      <c r="C63">
        <v>46</v>
      </c>
      <c r="D63">
        <v>0.1356</v>
      </c>
      <c r="E63">
        <v>5.4239999999999997E-2</v>
      </c>
      <c r="F63" t="b">
        <v>0</v>
      </c>
    </row>
    <row r="64" spans="1:6" x14ac:dyDescent="0.15">
      <c r="A64">
        <v>63</v>
      </c>
      <c r="B64">
        <v>46</v>
      </c>
      <c r="C64">
        <v>47</v>
      </c>
      <c r="D64">
        <v>0.127</v>
      </c>
      <c r="E64">
        <v>5.0799999999999998E-2</v>
      </c>
      <c r="F64" t="b">
        <v>0</v>
      </c>
    </row>
    <row r="65" spans="1:6" x14ac:dyDescent="0.15">
      <c r="A65">
        <v>64</v>
      </c>
      <c r="B65">
        <v>46</v>
      </c>
      <c r="C65">
        <v>48</v>
      </c>
      <c r="D65">
        <v>0.189</v>
      </c>
      <c r="E65">
        <v>7.5600000000000001E-2</v>
      </c>
      <c r="F65" t="b">
        <v>0</v>
      </c>
    </row>
    <row r="66" spans="1:6" x14ac:dyDescent="0.15">
      <c r="A66">
        <v>65</v>
      </c>
      <c r="B66">
        <v>47</v>
      </c>
      <c r="C66">
        <v>49</v>
      </c>
      <c r="D66">
        <v>6.25E-2</v>
      </c>
      <c r="E66">
        <v>2.5000000000000001E-2</v>
      </c>
      <c r="F66" t="b">
        <v>0</v>
      </c>
    </row>
    <row r="67" spans="1:6" x14ac:dyDescent="0.15">
      <c r="A67">
        <v>66</v>
      </c>
      <c r="B67">
        <v>42</v>
      </c>
      <c r="C67">
        <v>49</v>
      </c>
      <c r="D67">
        <v>0.32300000000000001</v>
      </c>
      <c r="E67">
        <v>0.12920000000000001</v>
      </c>
      <c r="F67" t="b">
        <v>0</v>
      </c>
    </row>
    <row r="68" spans="1:6" x14ac:dyDescent="0.15">
      <c r="A68">
        <v>67</v>
      </c>
      <c r="B68">
        <v>42</v>
      </c>
      <c r="C68">
        <v>49</v>
      </c>
      <c r="D68">
        <v>0.32300000000000001</v>
      </c>
      <c r="E68">
        <v>0.12920000000000001</v>
      </c>
      <c r="F68" t="b">
        <v>0</v>
      </c>
    </row>
    <row r="69" spans="1:6" x14ac:dyDescent="0.15">
      <c r="A69">
        <v>68</v>
      </c>
      <c r="B69">
        <v>45</v>
      </c>
      <c r="C69">
        <v>49</v>
      </c>
      <c r="D69">
        <v>0.186</v>
      </c>
      <c r="E69">
        <v>7.4400000000000008E-2</v>
      </c>
      <c r="F69" t="b">
        <v>0</v>
      </c>
    </row>
    <row r="70" spans="1:6" x14ac:dyDescent="0.15">
      <c r="A70">
        <v>69</v>
      </c>
      <c r="B70">
        <v>48</v>
      </c>
      <c r="C70">
        <v>49</v>
      </c>
      <c r="D70">
        <v>5.0500000000000003E-2</v>
      </c>
      <c r="E70">
        <v>2.0199999999999999E-2</v>
      </c>
      <c r="F70" t="b">
        <v>0</v>
      </c>
    </row>
    <row r="71" spans="1:6" x14ac:dyDescent="0.15">
      <c r="A71">
        <v>70</v>
      </c>
      <c r="B71">
        <v>49</v>
      </c>
      <c r="C71">
        <v>50</v>
      </c>
      <c r="D71">
        <v>7.5200000000000003E-2</v>
      </c>
      <c r="E71">
        <v>3.0079999999999999E-2</v>
      </c>
      <c r="F71" t="b">
        <v>0</v>
      </c>
    </row>
    <row r="72" spans="1:6" x14ac:dyDescent="0.15">
      <c r="A72">
        <v>71</v>
      </c>
      <c r="B72">
        <v>49</v>
      </c>
      <c r="C72">
        <v>51</v>
      </c>
      <c r="D72">
        <v>0.13700000000000001</v>
      </c>
      <c r="E72">
        <v>5.4800000000000008E-2</v>
      </c>
      <c r="F72" t="b">
        <v>0</v>
      </c>
    </row>
    <row r="73" spans="1:6" x14ac:dyDescent="0.15">
      <c r="A73">
        <v>72</v>
      </c>
      <c r="B73">
        <v>51</v>
      </c>
      <c r="C73">
        <v>52</v>
      </c>
      <c r="D73">
        <v>5.8799999999999998E-2</v>
      </c>
      <c r="E73">
        <v>2.3519999999999999E-2</v>
      </c>
      <c r="F73" t="b">
        <v>0</v>
      </c>
    </row>
    <row r="74" spans="1:6" x14ac:dyDescent="0.15">
      <c r="A74">
        <v>73</v>
      </c>
      <c r="B74">
        <v>52</v>
      </c>
      <c r="C74">
        <v>53</v>
      </c>
      <c r="D74">
        <v>0.16350000000000001</v>
      </c>
      <c r="E74">
        <v>6.54E-2</v>
      </c>
      <c r="F74" t="b">
        <v>0</v>
      </c>
    </row>
    <row r="75" spans="1:6" x14ac:dyDescent="0.15">
      <c r="A75">
        <v>74</v>
      </c>
      <c r="B75">
        <v>53</v>
      </c>
      <c r="C75">
        <v>54</v>
      </c>
      <c r="D75">
        <v>0.122</v>
      </c>
      <c r="E75">
        <v>4.8800000000000003E-2</v>
      </c>
      <c r="F75" t="b">
        <v>0</v>
      </c>
    </row>
    <row r="76" spans="1:6" x14ac:dyDescent="0.15">
      <c r="A76">
        <v>75</v>
      </c>
      <c r="B76">
        <v>49</v>
      </c>
      <c r="C76">
        <v>54</v>
      </c>
      <c r="D76">
        <v>0.28899999999999998</v>
      </c>
      <c r="E76">
        <v>0.11559999999999999</v>
      </c>
      <c r="F76" t="b">
        <v>0</v>
      </c>
    </row>
    <row r="77" spans="1:6" x14ac:dyDescent="0.15">
      <c r="A77">
        <v>76</v>
      </c>
      <c r="B77">
        <v>49</v>
      </c>
      <c r="C77">
        <v>54</v>
      </c>
      <c r="D77">
        <v>0.29099999999999998</v>
      </c>
      <c r="E77">
        <v>0.1164</v>
      </c>
      <c r="F77" t="b">
        <v>0</v>
      </c>
    </row>
    <row r="78" spans="1:6" x14ac:dyDescent="0.15">
      <c r="A78">
        <v>77</v>
      </c>
      <c r="B78">
        <v>54</v>
      </c>
      <c r="C78">
        <v>55</v>
      </c>
      <c r="D78">
        <v>7.0699999999999999E-2</v>
      </c>
      <c r="E78">
        <v>2.828E-2</v>
      </c>
      <c r="F78" t="b">
        <v>0</v>
      </c>
    </row>
    <row r="79" spans="1:6" x14ac:dyDescent="0.15">
      <c r="A79">
        <v>78</v>
      </c>
      <c r="B79">
        <v>54</v>
      </c>
      <c r="C79">
        <v>56</v>
      </c>
      <c r="D79">
        <v>9.5499999999999995E-3</v>
      </c>
      <c r="E79">
        <v>3.82E-3</v>
      </c>
      <c r="F79" t="b">
        <v>0</v>
      </c>
    </row>
    <row r="80" spans="1:6" x14ac:dyDescent="0.15">
      <c r="A80">
        <v>79</v>
      </c>
      <c r="B80">
        <v>55</v>
      </c>
      <c r="C80">
        <v>56</v>
      </c>
      <c r="D80">
        <v>1.5100000000000001E-2</v>
      </c>
      <c r="E80">
        <v>6.0400000000000002E-3</v>
      </c>
      <c r="F80" t="b">
        <v>0</v>
      </c>
    </row>
    <row r="81" spans="1:6" x14ac:dyDescent="0.15">
      <c r="A81">
        <v>80</v>
      </c>
      <c r="B81">
        <v>56</v>
      </c>
      <c r="C81">
        <v>57</v>
      </c>
      <c r="D81">
        <v>9.6600000000000005E-2</v>
      </c>
      <c r="E81">
        <v>3.8640000000000008E-2</v>
      </c>
      <c r="F81" t="b">
        <v>0</v>
      </c>
    </row>
    <row r="82" spans="1:6" x14ac:dyDescent="0.15">
      <c r="A82">
        <v>81</v>
      </c>
      <c r="B82">
        <v>50</v>
      </c>
      <c r="C82">
        <v>57</v>
      </c>
      <c r="D82">
        <v>0.13400000000000001</v>
      </c>
      <c r="E82">
        <v>5.3600000000000009E-2</v>
      </c>
      <c r="F82" t="b">
        <v>0</v>
      </c>
    </row>
    <row r="83" spans="1:6" x14ac:dyDescent="0.15">
      <c r="A83">
        <v>82</v>
      </c>
      <c r="B83">
        <v>56</v>
      </c>
      <c r="C83">
        <v>58</v>
      </c>
      <c r="D83">
        <v>9.6600000000000005E-2</v>
      </c>
      <c r="E83">
        <v>3.8640000000000008E-2</v>
      </c>
      <c r="F83" t="b">
        <v>0</v>
      </c>
    </row>
    <row r="84" spans="1:6" x14ac:dyDescent="0.15">
      <c r="A84">
        <v>83</v>
      </c>
      <c r="B84">
        <v>51</v>
      </c>
      <c r="C84">
        <v>58</v>
      </c>
      <c r="D84">
        <v>7.1900000000000006E-2</v>
      </c>
      <c r="E84">
        <v>2.8760000000000001E-2</v>
      </c>
      <c r="F84" t="b">
        <v>0</v>
      </c>
    </row>
    <row r="85" spans="1:6" x14ac:dyDescent="0.15">
      <c r="A85">
        <v>84</v>
      </c>
      <c r="B85">
        <v>54</v>
      </c>
      <c r="C85">
        <v>59</v>
      </c>
      <c r="D85">
        <v>0.2293</v>
      </c>
      <c r="E85">
        <v>9.172000000000001E-2</v>
      </c>
      <c r="F85" t="b">
        <v>0</v>
      </c>
    </row>
    <row r="86" spans="1:6" x14ac:dyDescent="0.15">
      <c r="A86">
        <v>85</v>
      </c>
      <c r="B86">
        <v>56</v>
      </c>
      <c r="C86">
        <v>59</v>
      </c>
      <c r="D86">
        <v>0.251</v>
      </c>
      <c r="E86">
        <v>0.1004</v>
      </c>
      <c r="F86" t="b">
        <v>0</v>
      </c>
    </row>
    <row r="87" spans="1:6" x14ac:dyDescent="0.15">
      <c r="A87">
        <v>86</v>
      </c>
      <c r="B87">
        <v>56</v>
      </c>
      <c r="C87">
        <v>59</v>
      </c>
      <c r="D87">
        <v>0.23899999999999999</v>
      </c>
      <c r="E87">
        <v>9.5600000000000004E-2</v>
      </c>
      <c r="F87" t="b">
        <v>0</v>
      </c>
    </row>
    <row r="88" spans="1:6" x14ac:dyDescent="0.15">
      <c r="A88">
        <v>87</v>
      </c>
      <c r="B88">
        <v>55</v>
      </c>
      <c r="C88">
        <v>59</v>
      </c>
      <c r="D88">
        <v>0.21579999999999999</v>
      </c>
      <c r="E88">
        <v>8.6320000000000008E-2</v>
      </c>
      <c r="F88" t="b">
        <v>0</v>
      </c>
    </row>
    <row r="89" spans="1:6" x14ac:dyDescent="0.15">
      <c r="A89">
        <v>88</v>
      </c>
      <c r="B89">
        <v>59</v>
      </c>
      <c r="C89">
        <v>60</v>
      </c>
      <c r="D89">
        <v>0.14499999999999999</v>
      </c>
      <c r="E89">
        <v>5.8000000000000003E-2</v>
      </c>
      <c r="F89" t="b">
        <v>0</v>
      </c>
    </row>
    <row r="90" spans="1:6" x14ac:dyDescent="0.15">
      <c r="A90">
        <v>89</v>
      </c>
      <c r="B90">
        <v>59</v>
      </c>
      <c r="C90">
        <v>61</v>
      </c>
      <c r="D90">
        <v>0.15</v>
      </c>
      <c r="E90">
        <v>0.06</v>
      </c>
      <c r="F90" t="b">
        <v>0</v>
      </c>
    </row>
    <row r="91" spans="1:6" x14ac:dyDescent="0.15">
      <c r="A91">
        <v>90</v>
      </c>
      <c r="B91">
        <v>60</v>
      </c>
      <c r="C91">
        <v>61</v>
      </c>
      <c r="D91">
        <v>1.35E-2</v>
      </c>
      <c r="E91">
        <v>5.4000000000000003E-3</v>
      </c>
      <c r="F91" t="b">
        <v>0</v>
      </c>
    </row>
    <row r="92" spans="1:6" x14ac:dyDescent="0.15">
      <c r="A92">
        <v>91</v>
      </c>
      <c r="B92">
        <v>60</v>
      </c>
      <c r="C92">
        <v>62</v>
      </c>
      <c r="D92">
        <v>5.6099999999999997E-2</v>
      </c>
      <c r="E92">
        <v>2.2440000000000002E-2</v>
      </c>
      <c r="F92" t="b">
        <v>0</v>
      </c>
    </row>
    <row r="93" spans="1:6" x14ac:dyDescent="0.15">
      <c r="A93">
        <v>92</v>
      </c>
      <c r="B93">
        <v>61</v>
      </c>
      <c r="C93">
        <v>62</v>
      </c>
      <c r="D93">
        <v>3.7600000000000001E-2</v>
      </c>
      <c r="E93">
        <v>1.504E-2</v>
      </c>
      <c r="F93" t="b">
        <v>0</v>
      </c>
    </row>
    <row r="94" spans="1:6" x14ac:dyDescent="0.15">
      <c r="A94">
        <v>93</v>
      </c>
      <c r="B94">
        <v>63</v>
      </c>
      <c r="C94">
        <v>59</v>
      </c>
      <c r="D94">
        <v>3.8600000000000002E-2</v>
      </c>
      <c r="E94">
        <v>1.5440000000000001E-2</v>
      </c>
      <c r="F94" t="b">
        <v>0</v>
      </c>
    </row>
    <row r="95" spans="1:6" x14ac:dyDescent="0.15">
      <c r="A95">
        <v>94</v>
      </c>
      <c r="B95">
        <v>63</v>
      </c>
      <c r="C95">
        <v>64</v>
      </c>
      <c r="D95">
        <v>0.02</v>
      </c>
      <c r="E95">
        <v>8.0000000000000002E-3</v>
      </c>
      <c r="F95" t="b">
        <v>0</v>
      </c>
    </row>
    <row r="96" spans="1:6" x14ac:dyDescent="0.15">
      <c r="A96">
        <v>95</v>
      </c>
      <c r="B96">
        <v>64</v>
      </c>
      <c r="C96">
        <v>61</v>
      </c>
      <c r="D96">
        <v>2.6800000000000001E-2</v>
      </c>
      <c r="E96">
        <v>1.072E-2</v>
      </c>
      <c r="F96" t="b">
        <v>0</v>
      </c>
    </row>
    <row r="97" spans="1:6" x14ac:dyDescent="0.15">
      <c r="A97">
        <v>96</v>
      </c>
      <c r="B97">
        <v>38</v>
      </c>
      <c r="C97">
        <v>65</v>
      </c>
      <c r="D97">
        <v>9.8599999999999993E-2</v>
      </c>
      <c r="E97">
        <v>3.9440000000000003E-2</v>
      </c>
      <c r="F97" t="b">
        <v>0</v>
      </c>
    </row>
    <row r="98" spans="1:6" x14ac:dyDescent="0.15">
      <c r="A98">
        <v>97</v>
      </c>
      <c r="B98">
        <v>64</v>
      </c>
      <c r="C98">
        <v>65</v>
      </c>
      <c r="D98">
        <v>3.0200000000000001E-2</v>
      </c>
      <c r="E98">
        <v>1.208E-2</v>
      </c>
      <c r="F98" t="b">
        <v>0</v>
      </c>
    </row>
    <row r="99" spans="1:6" x14ac:dyDescent="0.15">
      <c r="A99">
        <v>98</v>
      </c>
      <c r="B99">
        <v>49</v>
      </c>
      <c r="C99">
        <v>66</v>
      </c>
      <c r="D99">
        <v>9.1899999999999996E-2</v>
      </c>
      <c r="E99">
        <v>3.6760000000000001E-2</v>
      </c>
      <c r="F99" t="b">
        <v>0</v>
      </c>
    </row>
    <row r="100" spans="1:6" x14ac:dyDescent="0.15">
      <c r="A100">
        <v>99</v>
      </c>
      <c r="B100">
        <v>49</v>
      </c>
      <c r="C100">
        <v>66</v>
      </c>
      <c r="D100">
        <v>9.1899999999999996E-2</v>
      </c>
      <c r="E100">
        <v>3.6760000000000001E-2</v>
      </c>
      <c r="F100" t="b">
        <v>0</v>
      </c>
    </row>
    <row r="101" spans="1:6" x14ac:dyDescent="0.15">
      <c r="A101">
        <v>100</v>
      </c>
      <c r="B101">
        <v>62</v>
      </c>
      <c r="C101">
        <v>66</v>
      </c>
      <c r="D101">
        <v>0.218</v>
      </c>
      <c r="E101">
        <v>8.72E-2</v>
      </c>
      <c r="F101" t="b">
        <v>0</v>
      </c>
    </row>
    <row r="102" spans="1:6" x14ac:dyDescent="0.15">
      <c r="A102">
        <v>101</v>
      </c>
      <c r="B102">
        <v>62</v>
      </c>
      <c r="C102">
        <v>67</v>
      </c>
      <c r="D102">
        <v>0.11700000000000001</v>
      </c>
      <c r="E102">
        <v>4.6800000000000008E-2</v>
      </c>
      <c r="F102" t="b">
        <v>0</v>
      </c>
    </row>
    <row r="103" spans="1:6" x14ac:dyDescent="0.15">
      <c r="A103">
        <v>102</v>
      </c>
      <c r="B103">
        <v>65</v>
      </c>
      <c r="C103">
        <v>66</v>
      </c>
      <c r="D103">
        <v>3.6999999999999998E-2</v>
      </c>
      <c r="E103">
        <v>1.4800000000000001E-2</v>
      </c>
      <c r="F103" t="b">
        <v>0</v>
      </c>
    </row>
    <row r="104" spans="1:6" x14ac:dyDescent="0.15">
      <c r="A104">
        <v>103</v>
      </c>
      <c r="B104">
        <v>66</v>
      </c>
      <c r="C104">
        <v>67</v>
      </c>
      <c r="D104">
        <v>0.10150000000000001</v>
      </c>
      <c r="E104">
        <v>4.0599999999999997E-2</v>
      </c>
      <c r="F104" t="b">
        <v>0</v>
      </c>
    </row>
    <row r="105" spans="1:6" x14ac:dyDescent="0.15">
      <c r="A105">
        <v>104</v>
      </c>
      <c r="B105">
        <v>65</v>
      </c>
      <c r="C105">
        <v>68</v>
      </c>
      <c r="D105">
        <v>1.6E-2</v>
      </c>
      <c r="E105">
        <v>6.4000000000000003E-3</v>
      </c>
      <c r="F105" t="b">
        <v>0</v>
      </c>
    </row>
    <row r="106" spans="1:6" x14ac:dyDescent="0.15">
      <c r="A106">
        <v>105</v>
      </c>
      <c r="B106">
        <v>47</v>
      </c>
      <c r="C106">
        <v>69</v>
      </c>
      <c r="D106">
        <v>0.27779999999999999</v>
      </c>
      <c r="E106">
        <v>0.11112</v>
      </c>
      <c r="F106" t="b">
        <v>0</v>
      </c>
    </row>
    <row r="107" spans="1:6" x14ac:dyDescent="0.15">
      <c r="A107">
        <v>106</v>
      </c>
      <c r="B107">
        <v>49</v>
      </c>
      <c r="C107">
        <v>69</v>
      </c>
      <c r="D107">
        <v>0.32400000000000001</v>
      </c>
      <c r="E107">
        <v>0.12959999999999999</v>
      </c>
      <c r="F107" t="b">
        <v>0</v>
      </c>
    </row>
    <row r="108" spans="1:6" x14ac:dyDescent="0.15">
      <c r="A108">
        <v>107</v>
      </c>
      <c r="B108">
        <v>68</v>
      </c>
      <c r="C108">
        <v>69</v>
      </c>
      <c r="D108">
        <v>3.6999999999999998E-2</v>
      </c>
      <c r="E108">
        <v>1.4800000000000001E-2</v>
      </c>
      <c r="F108" t="b">
        <v>0</v>
      </c>
    </row>
    <row r="109" spans="1:6" x14ac:dyDescent="0.15">
      <c r="A109">
        <v>108</v>
      </c>
      <c r="B109">
        <v>69</v>
      </c>
      <c r="C109">
        <v>70</v>
      </c>
      <c r="D109">
        <v>0.127</v>
      </c>
      <c r="E109">
        <v>5.0799999999999998E-2</v>
      </c>
      <c r="F109" t="b">
        <v>0</v>
      </c>
    </row>
    <row r="110" spans="1:6" x14ac:dyDescent="0.15">
      <c r="A110">
        <v>109</v>
      </c>
      <c r="B110">
        <v>24</v>
      </c>
      <c r="C110">
        <v>70</v>
      </c>
      <c r="D110">
        <v>0.41149999999999998</v>
      </c>
      <c r="E110">
        <v>0.1646</v>
      </c>
      <c r="F110" t="b">
        <v>0</v>
      </c>
    </row>
    <row r="111" spans="1:6" x14ac:dyDescent="0.15">
      <c r="A111">
        <v>110</v>
      </c>
      <c r="B111">
        <v>70</v>
      </c>
      <c r="C111">
        <v>71</v>
      </c>
      <c r="D111">
        <v>3.5499999999999997E-2</v>
      </c>
      <c r="E111">
        <v>1.4200000000000001E-2</v>
      </c>
      <c r="F111" t="b">
        <v>0</v>
      </c>
    </row>
    <row r="112" spans="1:6" x14ac:dyDescent="0.15">
      <c r="A112">
        <v>111</v>
      </c>
      <c r="B112">
        <v>24</v>
      </c>
      <c r="C112">
        <v>72</v>
      </c>
      <c r="D112">
        <v>0.19600000000000001</v>
      </c>
      <c r="E112">
        <v>7.8400000000000011E-2</v>
      </c>
      <c r="F112" t="b">
        <v>0</v>
      </c>
    </row>
    <row r="113" spans="1:6" x14ac:dyDescent="0.15">
      <c r="A113">
        <v>112</v>
      </c>
      <c r="B113">
        <v>71</v>
      </c>
      <c r="C113">
        <v>72</v>
      </c>
      <c r="D113">
        <v>0.18</v>
      </c>
      <c r="E113">
        <v>7.1999999999999995E-2</v>
      </c>
      <c r="F113" t="b">
        <v>0</v>
      </c>
    </row>
    <row r="114" spans="1:6" x14ac:dyDescent="0.15">
      <c r="A114">
        <v>113</v>
      </c>
      <c r="B114">
        <v>71</v>
      </c>
      <c r="C114">
        <v>73</v>
      </c>
      <c r="D114">
        <v>4.5400000000000003E-2</v>
      </c>
      <c r="E114">
        <v>1.8159999999999999E-2</v>
      </c>
      <c r="F114" t="b">
        <v>0</v>
      </c>
    </row>
    <row r="115" spans="1:6" x14ac:dyDescent="0.15">
      <c r="A115">
        <v>114</v>
      </c>
      <c r="B115">
        <v>70</v>
      </c>
      <c r="C115">
        <v>74</v>
      </c>
      <c r="D115">
        <v>0.1323</v>
      </c>
      <c r="E115">
        <v>5.2920000000000002E-2</v>
      </c>
      <c r="F115" t="b">
        <v>0</v>
      </c>
    </row>
    <row r="116" spans="1:6" x14ac:dyDescent="0.15">
      <c r="A116">
        <v>115</v>
      </c>
      <c r="B116">
        <v>70</v>
      </c>
      <c r="C116">
        <v>75</v>
      </c>
      <c r="D116">
        <v>0.14099999999999999</v>
      </c>
      <c r="E116">
        <v>5.6399999999999999E-2</v>
      </c>
      <c r="F116" t="b">
        <v>0</v>
      </c>
    </row>
    <row r="117" spans="1:6" x14ac:dyDescent="0.15">
      <c r="A117">
        <v>116</v>
      </c>
      <c r="B117">
        <v>69</v>
      </c>
      <c r="C117">
        <v>75</v>
      </c>
      <c r="D117">
        <v>0.122</v>
      </c>
      <c r="E117">
        <v>4.8800000000000003E-2</v>
      </c>
      <c r="F117" t="b">
        <v>0</v>
      </c>
    </row>
    <row r="118" spans="1:6" x14ac:dyDescent="0.15">
      <c r="A118">
        <v>117</v>
      </c>
      <c r="B118">
        <v>74</v>
      </c>
      <c r="C118">
        <v>75</v>
      </c>
      <c r="D118">
        <v>4.0599999999999997E-2</v>
      </c>
      <c r="E118">
        <v>1.6240000000000001E-2</v>
      </c>
      <c r="F118" t="b">
        <v>0</v>
      </c>
    </row>
    <row r="119" spans="1:6" x14ac:dyDescent="0.15">
      <c r="A119">
        <v>118</v>
      </c>
      <c r="B119">
        <v>76</v>
      </c>
      <c r="C119">
        <v>77</v>
      </c>
      <c r="D119">
        <v>0.14799999999999999</v>
      </c>
      <c r="E119">
        <v>5.9200000000000003E-2</v>
      </c>
      <c r="F119" t="b">
        <v>0</v>
      </c>
    </row>
    <row r="120" spans="1:6" x14ac:dyDescent="0.15">
      <c r="A120">
        <v>119</v>
      </c>
      <c r="B120">
        <v>69</v>
      </c>
      <c r="C120">
        <v>77</v>
      </c>
      <c r="D120">
        <v>0.10100000000000001</v>
      </c>
      <c r="E120">
        <v>4.0400000000000012E-2</v>
      </c>
      <c r="F120" t="b">
        <v>0</v>
      </c>
    </row>
    <row r="121" spans="1:6" x14ac:dyDescent="0.15">
      <c r="A121">
        <v>120</v>
      </c>
      <c r="B121">
        <v>75</v>
      </c>
      <c r="C121">
        <v>77</v>
      </c>
      <c r="D121">
        <v>0.19989999999999999</v>
      </c>
      <c r="E121">
        <v>7.9960000000000003E-2</v>
      </c>
      <c r="F121" t="b">
        <v>0</v>
      </c>
    </row>
    <row r="122" spans="1:6" x14ac:dyDescent="0.15">
      <c r="A122">
        <v>121</v>
      </c>
      <c r="B122">
        <v>77</v>
      </c>
      <c r="C122">
        <v>78</v>
      </c>
      <c r="D122">
        <v>1.24E-2</v>
      </c>
      <c r="E122">
        <v>4.96E-3</v>
      </c>
      <c r="F122" t="b">
        <v>0</v>
      </c>
    </row>
    <row r="123" spans="1:6" x14ac:dyDescent="0.15">
      <c r="A123">
        <v>122</v>
      </c>
      <c r="B123">
        <v>78</v>
      </c>
      <c r="C123">
        <v>79</v>
      </c>
      <c r="D123">
        <v>2.4400000000000002E-2</v>
      </c>
      <c r="E123">
        <v>9.7600000000000013E-3</v>
      </c>
      <c r="F123" t="b">
        <v>0</v>
      </c>
    </row>
    <row r="124" spans="1:6" x14ac:dyDescent="0.15">
      <c r="A124">
        <v>123</v>
      </c>
      <c r="B124">
        <v>77</v>
      </c>
      <c r="C124">
        <v>80</v>
      </c>
      <c r="D124">
        <v>4.8500000000000001E-2</v>
      </c>
      <c r="E124">
        <v>1.9400000000000001E-2</v>
      </c>
      <c r="F124" t="b">
        <v>0</v>
      </c>
    </row>
    <row r="125" spans="1:6" x14ac:dyDescent="0.15">
      <c r="A125">
        <v>124</v>
      </c>
      <c r="B125">
        <v>77</v>
      </c>
      <c r="C125">
        <v>80</v>
      </c>
      <c r="D125">
        <v>0.105</v>
      </c>
      <c r="E125">
        <v>4.2000000000000003E-2</v>
      </c>
      <c r="F125" t="b">
        <v>0</v>
      </c>
    </row>
    <row r="126" spans="1:6" x14ac:dyDescent="0.15">
      <c r="A126">
        <v>125</v>
      </c>
      <c r="B126">
        <v>79</v>
      </c>
      <c r="C126">
        <v>80</v>
      </c>
      <c r="D126">
        <v>7.0400000000000004E-2</v>
      </c>
      <c r="E126">
        <v>2.8160000000000001E-2</v>
      </c>
      <c r="F126" t="b">
        <v>0</v>
      </c>
    </row>
    <row r="127" spans="1:6" x14ac:dyDescent="0.15">
      <c r="A127">
        <v>126</v>
      </c>
      <c r="B127">
        <v>68</v>
      </c>
      <c r="C127">
        <v>81</v>
      </c>
      <c r="D127">
        <v>2.0199999999999999E-2</v>
      </c>
      <c r="E127">
        <v>8.0800000000000004E-3</v>
      </c>
      <c r="F127" t="b">
        <v>0</v>
      </c>
    </row>
    <row r="128" spans="1:6" x14ac:dyDescent="0.15">
      <c r="A128">
        <v>127</v>
      </c>
      <c r="B128">
        <v>81</v>
      </c>
      <c r="C128">
        <v>80</v>
      </c>
      <c r="D128">
        <v>3.6999999999999998E-2</v>
      </c>
      <c r="E128">
        <v>1.4800000000000001E-2</v>
      </c>
      <c r="F128" t="b">
        <v>0</v>
      </c>
    </row>
    <row r="129" spans="1:6" x14ac:dyDescent="0.15">
      <c r="A129">
        <v>128</v>
      </c>
      <c r="B129">
        <v>77</v>
      </c>
      <c r="C129">
        <v>82</v>
      </c>
      <c r="D129">
        <v>8.5300000000000001E-2</v>
      </c>
      <c r="E129">
        <v>3.4119999999999998E-2</v>
      </c>
      <c r="F129" t="b">
        <v>0</v>
      </c>
    </row>
    <row r="130" spans="1:6" x14ac:dyDescent="0.15">
      <c r="A130">
        <v>129</v>
      </c>
      <c r="B130">
        <v>82</v>
      </c>
      <c r="C130">
        <v>83</v>
      </c>
      <c r="D130">
        <v>3.6650000000000002E-2</v>
      </c>
      <c r="E130">
        <v>1.4659999999999999E-2</v>
      </c>
      <c r="F130" t="b">
        <v>0</v>
      </c>
    </row>
    <row r="131" spans="1:6" x14ac:dyDescent="0.15">
      <c r="A131">
        <v>130</v>
      </c>
      <c r="B131">
        <v>83</v>
      </c>
      <c r="C131">
        <v>84</v>
      </c>
      <c r="D131">
        <v>0.13200000000000001</v>
      </c>
      <c r="E131">
        <v>5.2800000000000007E-2</v>
      </c>
      <c r="F131" t="b">
        <v>0</v>
      </c>
    </row>
    <row r="132" spans="1:6" x14ac:dyDescent="0.15">
      <c r="A132">
        <v>131</v>
      </c>
      <c r="B132">
        <v>83</v>
      </c>
      <c r="C132">
        <v>85</v>
      </c>
      <c r="D132">
        <v>0.14799999999999999</v>
      </c>
      <c r="E132">
        <v>5.9200000000000003E-2</v>
      </c>
      <c r="F132" t="b">
        <v>0</v>
      </c>
    </row>
    <row r="133" spans="1:6" x14ac:dyDescent="0.15">
      <c r="A133">
        <v>132</v>
      </c>
      <c r="B133">
        <v>84</v>
      </c>
      <c r="C133">
        <v>85</v>
      </c>
      <c r="D133">
        <v>6.4100000000000004E-2</v>
      </c>
      <c r="E133">
        <v>2.564E-2</v>
      </c>
      <c r="F133" t="b">
        <v>0</v>
      </c>
    </row>
    <row r="134" spans="1:6" x14ac:dyDescent="0.15">
      <c r="A134">
        <v>133</v>
      </c>
      <c r="B134">
        <v>85</v>
      </c>
      <c r="C134">
        <v>86</v>
      </c>
      <c r="D134">
        <v>0.123</v>
      </c>
      <c r="E134">
        <v>4.9200000000000001E-2</v>
      </c>
      <c r="F134" t="b">
        <v>0</v>
      </c>
    </row>
    <row r="135" spans="1:6" x14ac:dyDescent="0.15">
      <c r="A135">
        <v>134</v>
      </c>
      <c r="B135">
        <v>86</v>
      </c>
      <c r="C135">
        <v>87</v>
      </c>
      <c r="D135">
        <v>0.2074</v>
      </c>
      <c r="E135">
        <v>8.2960000000000006E-2</v>
      </c>
      <c r="F135" t="b">
        <v>0</v>
      </c>
    </row>
    <row r="136" spans="1:6" x14ac:dyDescent="0.15">
      <c r="A136">
        <v>135</v>
      </c>
      <c r="B136">
        <v>85</v>
      </c>
      <c r="C136">
        <v>88</v>
      </c>
      <c r="D136">
        <v>0.10199999999999999</v>
      </c>
      <c r="E136">
        <v>4.0800000000000003E-2</v>
      </c>
      <c r="F136" t="b">
        <v>0</v>
      </c>
    </row>
    <row r="137" spans="1:6" x14ac:dyDescent="0.15">
      <c r="A137">
        <v>136</v>
      </c>
      <c r="B137">
        <v>85</v>
      </c>
      <c r="C137">
        <v>89</v>
      </c>
      <c r="D137">
        <v>0.17299999999999999</v>
      </c>
      <c r="E137">
        <v>6.9199999999999998E-2</v>
      </c>
      <c r="F137" t="b">
        <v>0</v>
      </c>
    </row>
    <row r="138" spans="1:6" x14ac:dyDescent="0.15">
      <c r="A138">
        <v>137</v>
      </c>
      <c r="B138">
        <v>88</v>
      </c>
      <c r="C138">
        <v>89</v>
      </c>
      <c r="D138">
        <v>7.1199999999999999E-2</v>
      </c>
      <c r="E138">
        <v>2.8479999999999998E-2</v>
      </c>
      <c r="F138" t="b">
        <v>0</v>
      </c>
    </row>
    <row r="139" spans="1:6" x14ac:dyDescent="0.15">
      <c r="A139">
        <v>138</v>
      </c>
      <c r="B139">
        <v>89</v>
      </c>
      <c r="C139">
        <v>90</v>
      </c>
      <c r="D139">
        <v>0.188</v>
      </c>
      <c r="E139">
        <v>7.5200000000000003E-2</v>
      </c>
      <c r="F139" t="b">
        <v>0</v>
      </c>
    </row>
    <row r="140" spans="1:6" x14ac:dyDescent="0.15">
      <c r="A140">
        <v>139</v>
      </c>
      <c r="B140">
        <v>89</v>
      </c>
      <c r="C140">
        <v>90</v>
      </c>
      <c r="D140">
        <v>9.9699999999999997E-2</v>
      </c>
      <c r="E140">
        <v>3.9879999999999999E-2</v>
      </c>
      <c r="F140" t="b">
        <v>0</v>
      </c>
    </row>
    <row r="141" spans="1:6" x14ac:dyDescent="0.15">
      <c r="A141">
        <v>140</v>
      </c>
      <c r="B141">
        <v>90</v>
      </c>
      <c r="C141">
        <v>91</v>
      </c>
      <c r="D141">
        <v>8.3599999999999994E-2</v>
      </c>
      <c r="E141">
        <v>3.3439999999999998E-2</v>
      </c>
      <c r="F141" t="b">
        <v>0</v>
      </c>
    </row>
    <row r="142" spans="1:6" x14ac:dyDescent="0.15">
      <c r="A142">
        <v>141</v>
      </c>
      <c r="B142">
        <v>89</v>
      </c>
      <c r="C142">
        <v>92</v>
      </c>
      <c r="D142">
        <v>5.0500000000000003E-2</v>
      </c>
      <c r="E142">
        <v>2.0199999999999999E-2</v>
      </c>
      <c r="F142" t="b">
        <v>0</v>
      </c>
    </row>
    <row r="143" spans="1:6" x14ac:dyDescent="0.15">
      <c r="A143">
        <v>142</v>
      </c>
      <c r="B143">
        <v>89</v>
      </c>
      <c r="C143">
        <v>92</v>
      </c>
      <c r="D143">
        <v>0.15809999999999999</v>
      </c>
      <c r="E143">
        <v>6.3240000000000005E-2</v>
      </c>
      <c r="F143" t="b">
        <v>0</v>
      </c>
    </row>
    <row r="144" spans="1:6" x14ac:dyDescent="0.15">
      <c r="A144">
        <v>143</v>
      </c>
      <c r="B144">
        <v>91</v>
      </c>
      <c r="C144">
        <v>92</v>
      </c>
      <c r="D144">
        <v>0.12720000000000001</v>
      </c>
      <c r="E144">
        <v>5.0880000000000009E-2</v>
      </c>
      <c r="F144" t="b">
        <v>0</v>
      </c>
    </row>
    <row r="145" spans="1:6" x14ac:dyDescent="0.15">
      <c r="A145">
        <v>144</v>
      </c>
      <c r="B145">
        <v>92</v>
      </c>
      <c r="C145">
        <v>93</v>
      </c>
      <c r="D145">
        <v>8.48E-2</v>
      </c>
      <c r="E145">
        <v>3.3919999999999999E-2</v>
      </c>
      <c r="F145" t="b">
        <v>0</v>
      </c>
    </row>
    <row r="146" spans="1:6" x14ac:dyDescent="0.15">
      <c r="A146">
        <v>145</v>
      </c>
      <c r="B146">
        <v>92</v>
      </c>
      <c r="C146">
        <v>94</v>
      </c>
      <c r="D146">
        <v>0.158</v>
      </c>
      <c r="E146">
        <v>6.3200000000000006E-2</v>
      </c>
      <c r="F146" t="b">
        <v>0</v>
      </c>
    </row>
    <row r="147" spans="1:6" x14ac:dyDescent="0.15">
      <c r="A147">
        <v>146</v>
      </c>
      <c r="B147">
        <v>93</v>
      </c>
      <c r="C147">
        <v>94</v>
      </c>
      <c r="D147">
        <v>7.3200000000000001E-2</v>
      </c>
      <c r="E147">
        <v>2.928E-2</v>
      </c>
      <c r="F147" t="b">
        <v>0</v>
      </c>
    </row>
    <row r="148" spans="1:6" x14ac:dyDescent="0.15">
      <c r="A148">
        <v>147</v>
      </c>
      <c r="B148">
        <v>94</v>
      </c>
      <c r="C148">
        <v>95</v>
      </c>
      <c r="D148">
        <v>4.3400000000000001E-2</v>
      </c>
      <c r="E148">
        <v>1.736E-2</v>
      </c>
      <c r="F148" t="b">
        <v>0</v>
      </c>
    </row>
    <row r="149" spans="1:6" x14ac:dyDescent="0.15">
      <c r="A149">
        <v>148</v>
      </c>
      <c r="B149">
        <v>80</v>
      </c>
      <c r="C149">
        <v>96</v>
      </c>
      <c r="D149">
        <v>0.182</v>
      </c>
      <c r="E149">
        <v>7.2800000000000004E-2</v>
      </c>
      <c r="F149" t="b">
        <v>0</v>
      </c>
    </row>
    <row r="150" spans="1:6" x14ac:dyDescent="0.15">
      <c r="A150">
        <v>149</v>
      </c>
      <c r="B150">
        <v>82</v>
      </c>
      <c r="C150">
        <v>96</v>
      </c>
      <c r="D150">
        <v>5.2999999999999999E-2</v>
      </c>
      <c r="E150">
        <v>2.12E-2</v>
      </c>
      <c r="F150" t="b">
        <v>0</v>
      </c>
    </row>
    <row r="151" spans="1:6" x14ac:dyDescent="0.15">
      <c r="A151">
        <v>150</v>
      </c>
      <c r="B151">
        <v>94</v>
      </c>
      <c r="C151">
        <v>96</v>
      </c>
      <c r="D151">
        <v>8.6900000000000005E-2</v>
      </c>
      <c r="E151">
        <v>3.4760000000000013E-2</v>
      </c>
      <c r="F151" t="b">
        <v>0</v>
      </c>
    </row>
    <row r="152" spans="1:6" x14ac:dyDescent="0.15">
      <c r="A152">
        <v>151</v>
      </c>
      <c r="B152">
        <v>80</v>
      </c>
      <c r="C152">
        <v>97</v>
      </c>
      <c r="D152">
        <v>9.3399999999999997E-2</v>
      </c>
      <c r="E152">
        <v>3.7359999999999997E-2</v>
      </c>
      <c r="F152" t="b">
        <v>0</v>
      </c>
    </row>
    <row r="153" spans="1:6" x14ac:dyDescent="0.15">
      <c r="A153">
        <v>152</v>
      </c>
      <c r="B153">
        <v>80</v>
      </c>
      <c r="C153">
        <v>98</v>
      </c>
      <c r="D153">
        <v>0.108</v>
      </c>
      <c r="E153">
        <v>4.3200000000000002E-2</v>
      </c>
      <c r="F153" t="b">
        <v>0</v>
      </c>
    </row>
    <row r="154" spans="1:6" x14ac:dyDescent="0.15">
      <c r="A154">
        <v>153</v>
      </c>
      <c r="B154">
        <v>80</v>
      </c>
      <c r="C154">
        <v>99</v>
      </c>
      <c r="D154">
        <v>0.20599999999999999</v>
      </c>
      <c r="E154">
        <v>8.2400000000000001E-2</v>
      </c>
      <c r="F154" t="b">
        <v>0</v>
      </c>
    </row>
    <row r="155" spans="1:6" x14ac:dyDescent="0.15">
      <c r="A155">
        <v>154</v>
      </c>
      <c r="B155">
        <v>92</v>
      </c>
      <c r="C155">
        <v>100</v>
      </c>
      <c r="D155">
        <v>0.29499999999999998</v>
      </c>
      <c r="E155">
        <v>0.11799999999999999</v>
      </c>
      <c r="F155" t="b">
        <v>0</v>
      </c>
    </row>
    <row r="156" spans="1:6" x14ac:dyDescent="0.15">
      <c r="A156">
        <v>155</v>
      </c>
      <c r="B156">
        <v>94</v>
      </c>
      <c r="C156">
        <v>100</v>
      </c>
      <c r="D156">
        <v>5.8000000000000003E-2</v>
      </c>
      <c r="E156">
        <v>2.3199999999999998E-2</v>
      </c>
      <c r="F156" t="b">
        <v>0</v>
      </c>
    </row>
    <row r="157" spans="1:6" x14ac:dyDescent="0.15">
      <c r="A157">
        <v>156</v>
      </c>
      <c r="B157">
        <v>95</v>
      </c>
      <c r="C157">
        <v>96</v>
      </c>
      <c r="D157">
        <v>5.4699999999999999E-2</v>
      </c>
      <c r="E157">
        <v>2.188E-2</v>
      </c>
      <c r="F157" t="b">
        <v>0</v>
      </c>
    </row>
    <row r="158" spans="1:6" x14ac:dyDescent="0.15">
      <c r="A158">
        <v>157</v>
      </c>
      <c r="B158">
        <v>96</v>
      </c>
      <c r="C158">
        <v>97</v>
      </c>
      <c r="D158">
        <v>8.8499999999999995E-2</v>
      </c>
      <c r="E158">
        <v>3.5400000000000001E-2</v>
      </c>
      <c r="F158" t="b">
        <v>0</v>
      </c>
    </row>
    <row r="159" spans="1:6" x14ac:dyDescent="0.15">
      <c r="A159">
        <v>158</v>
      </c>
      <c r="B159">
        <v>98</v>
      </c>
      <c r="C159">
        <v>100</v>
      </c>
      <c r="D159">
        <v>0.17899999999999999</v>
      </c>
      <c r="E159">
        <v>7.1599999999999997E-2</v>
      </c>
      <c r="F159" t="b">
        <v>0</v>
      </c>
    </row>
    <row r="160" spans="1:6" x14ac:dyDescent="0.15">
      <c r="A160">
        <v>159</v>
      </c>
      <c r="B160">
        <v>99</v>
      </c>
      <c r="C160">
        <v>100</v>
      </c>
      <c r="D160">
        <v>8.1299999999999997E-2</v>
      </c>
      <c r="E160">
        <v>3.252E-2</v>
      </c>
      <c r="F160" t="b">
        <v>0</v>
      </c>
    </row>
    <row r="161" spans="1:6" x14ac:dyDescent="0.15">
      <c r="A161">
        <v>160</v>
      </c>
      <c r="B161">
        <v>100</v>
      </c>
      <c r="C161">
        <v>101</v>
      </c>
      <c r="D161">
        <v>0.12620000000000001</v>
      </c>
      <c r="E161">
        <v>5.0479999999999997E-2</v>
      </c>
      <c r="F161" t="b">
        <v>0</v>
      </c>
    </row>
    <row r="162" spans="1:6" x14ac:dyDescent="0.15">
      <c r="A162">
        <v>161</v>
      </c>
      <c r="B162">
        <v>92</v>
      </c>
      <c r="C162">
        <v>102</v>
      </c>
      <c r="D162">
        <v>5.5899999999999998E-2</v>
      </c>
      <c r="E162">
        <v>2.2360000000000001E-2</v>
      </c>
      <c r="F162" t="b">
        <v>0</v>
      </c>
    </row>
    <row r="163" spans="1:6" x14ac:dyDescent="0.15">
      <c r="A163">
        <v>162</v>
      </c>
      <c r="B163">
        <v>101</v>
      </c>
      <c r="C163">
        <v>102</v>
      </c>
      <c r="D163">
        <v>0.112</v>
      </c>
      <c r="E163">
        <v>4.4800000000000013E-2</v>
      </c>
      <c r="F163" t="b">
        <v>0</v>
      </c>
    </row>
    <row r="164" spans="1:6" x14ac:dyDescent="0.15">
      <c r="A164">
        <v>163</v>
      </c>
      <c r="B164">
        <v>100</v>
      </c>
      <c r="C164">
        <v>103</v>
      </c>
      <c r="D164">
        <v>5.2499999999999998E-2</v>
      </c>
      <c r="E164">
        <v>2.1000000000000001E-2</v>
      </c>
      <c r="F164" t="b">
        <v>0</v>
      </c>
    </row>
    <row r="165" spans="1:6" x14ac:dyDescent="0.15">
      <c r="A165">
        <v>164</v>
      </c>
      <c r="B165">
        <v>100</v>
      </c>
      <c r="C165">
        <v>104</v>
      </c>
      <c r="D165">
        <v>0.20399999999999999</v>
      </c>
      <c r="E165">
        <v>8.1600000000000006E-2</v>
      </c>
      <c r="F165" t="b">
        <v>0</v>
      </c>
    </row>
    <row r="166" spans="1:6" x14ac:dyDescent="0.15">
      <c r="A166">
        <v>165</v>
      </c>
      <c r="B166">
        <v>103</v>
      </c>
      <c r="C166">
        <v>104</v>
      </c>
      <c r="D166">
        <v>0.15840000000000001</v>
      </c>
      <c r="E166">
        <v>6.3360000000000014E-2</v>
      </c>
      <c r="F166" t="b">
        <v>0</v>
      </c>
    </row>
    <row r="167" spans="1:6" x14ac:dyDescent="0.15">
      <c r="A167">
        <v>166</v>
      </c>
      <c r="B167">
        <v>103</v>
      </c>
      <c r="C167">
        <v>105</v>
      </c>
      <c r="D167">
        <v>0.16250000000000001</v>
      </c>
      <c r="E167">
        <v>6.5000000000000002E-2</v>
      </c>
      <c r="F167" t="b">
        <v>0</v>
      </c>
    </row>
    <row r="168" spans="1:6" x14ac:dyDescent="0.15">
      <c r="A168">
        <v>167</v>
      </c>
      <c r="B168">
        <v>100</v>
      </c>
      <c r="C168">
        <v>106</v>
      </c>
      <c r="D168">
        <v>0.22900000000000001</v>
      </c>
      <c r="E168">
        <v>9.1600000000000015E-2</v>
      </c>
      <c r="F168" t="b">
        <v>0</v>
      </c>
    </row>
    <row r="169" spans="1:6" x14ac:dyDescent="0.15">
      <c r="A169">
        <v>168</v>
      </c>
      <c r="B169">
        <v>104</v>
      </c>
      <c r="C169">
        <v>105</v>
      </c>
      <c r="D169">
        <v>3.78E-2</v>
      </c>
      <c r="E169">
        <v>1.512E-2</v>
      </c>
      <c r="F169" t="b">
        <v>0</v>
      </c>
    </row>
    <row r="170" spans="1:6" x14ac:dyDescent="0.15">
      <c r="A170">
        <v>169</v>
      </c>
      <c r="B170">
        <v>105</v>
      </c>
      <c r="C170">
        <v>106</v>
      </c>
      <c r="D170">
        <v>5.4699999999999999E-2</v>
      </c>
      <c r="E170">
        <v>2.188E-2</v>
      </c>
      <c r="F170" t="b">
        <v>0</v>
      </c>
    </row>
    <row r="171" spans="1:6" x14ac:dyDescent="0.15">
      <c r="A171">
        <v>170</v>
      </c>
      <c r="B171">
        <v>105</v>
      </c>
      <c r="C171">
        <v>107</v>
      </c>
      <c r="D171">
        <v>0.183</v>
      </c>
      <c r="E171">
        <v>7.3200000000000001E-2</v>
      </c>
      <c r="F171" t="b">
        <v>0</v>
      </c>
    </row>
    <row r="172" spans="1:6" x14ac:dyDescent="0.15">
      <c r="A172">
        <v>171</v>
      </c>
      <c r="B172">
        <v>105</v>
      </c>
      <c r="C172">
        <v>108</v>
      </c>
      <c r="D172">
        <v>7.0300000000000001E-2</v>
      </c>
      <c r="E172">
        <v>2.8119999999999999E-2</v>
      </c>
      <c r="F172" t="b">
        <v>0</v>
      </c>
    </row>
    <row r="173" spans="1:6" x14ac:dyDescent="0.15">
      <c r="A173">
        <v>172</v>
      </c>
      <c r="B173">
        <v>106</v>
      </c>
      <c r="C173">
        <v>107</v>
      </c>
      <c r="D173">
        <v>0.183</v>
      </c>
      <c r="E173">
        <v>7.3200000000000001E-2</v>
      </c>
      <c r="F173" t="b">
        <v>0</v>
      </c>
    </row>
    <row r="174" spans="1:6" x14ac:dyDescent="0.15">
      <c r="A174">
        <v>173</v>
      </c>
      <c r="B174">
        <v>108</v>
      </c>
      <c r="C174">
        <v>109</v>
      </c>
      <c r="D174">
        <v>2.8799999999999999E-2</v>
      </c>
      <c r="E174">
        <v>1.1520000000000001E-2</v>
      </c>
      <c r="F174" t="b">
        <v>0</v>
      </c>
    </row>
    <row r="175" spans="1:6" x14ac:dyDescent="0.15">
      <c r="A175">
        <v>174</v>
      </c>
      <c r="B175">
        <v>103</v>
      </c>
      <c r="C175">
        <v>110</v>
      </c>
      <c r="D175">
        <v>0.18129999999999999</v>
      </c>
      <c r="E175">
        <v>7.2520000000000001E-2</v>
      </c>
      <c r="F175" t="b">
        <v>0</v>
      </c>
    </row>
    <row r="176" spans="1:6" x14ac:dyDescent="0.15">
      <c r="A176">
        <v>175</v>
      </c>
      <c r="B176">
        <v>109</v>
      </c>
      <c r="C176">
        <v>110</v>
      </c>
      <c r="D176">
        <v>7.6200000000000004E-2</v>
      </c>
      <c r="E176">
        <v>3.048E-2</v>
      </c>
      <c r="F176" t="b">
        <v>0</v>
      </c>
    </row>
    <row r="177" spans="1:6" x14ac:dyDescent="0.15">
      <c r="A177">
        <v>176</v>
      </c>
      <c r="B177">
        <v>110</v>
      </c>
      <c r="C177">
        <v>111</v>
      </c>
      <c r="D177">
        <v>7.5499999999999998E-2</v>
      </c>
      <c r="E177">
        <v>3.0200000000000001E-2</v>
      </c>
      <c r="F177" t="b">
        <v>0</v>
      </c>
    </row>
    <row r="178" spans="1:6" x14ac:dyDescent="0.15">
      <c r="A178">
        <v>177</v>
      </c>
      <c r="B178">
        <v>110</v>
      </c>
      <c r="C178">
        <v>112</v>
      </c>
      <c r="D178">
        <v>6.4000000000000001E-2</v>
      </c>
      <c r="E178">
        <v>2.5600000000000001E-2</v>
      </c>
      <c r="F178" t="b">
        <v>0</v>
      </c>
    </row>
    <row r="179" spans="1:6" x14ac:dyDescent="0.15">
      <c r="A179">
        <v>178</v>
      </c>
      <c r="B179">
        <v>17</v>
      </c>
      <c r="C179">
        <v>113</v>
      </c>
      <c r="D179">
        <v>3.0099999999999998E-2</v>
      </c>
      <c r="E179">
        <v>1.204E-2</v>
      </c>
      <c r="F179" t="b">
        <v>0</v>
      </c>
    </row>
    <row r="180" spans="1:6" x14ac:dyDescent="0.15">
      <c r="A180">
        <v>179</v>
      </c>
      <c r="B180">
        <v>32</v>
      </c>
      <c r="C180">
        <v>113</v>
      </c>
      <c r="D180">
        <v>0.20300000000000001</v>
      </c>
      <c r="E180">
        <v>8.1200000000000008E-2</v>
      </c>
      <c r="F180" t="b">
        <v>0</v>
      </c>
    </row>
    <row r="181" spans="1:6" x14ac:dyDescent="0.15">
      <c r="A181">
        <v>180</v>
      </c>
      <c r="B181">
        <v>32</v>
      </c>
      <c r="C181">
        <v>114</v>
      </c>
      <c r="D181">
        <v>6.1199999999999997E-2</v>
      </c>
      <c r="E181">
        <v>2.4479999999999998E-2</v>
      </c>
      <c r="F181" t="b">
        <v>0</v>
      </c>
    </row>
    <row r="182" spans="1:6" x14ac:dyDescent="0.15">
      <c r="A182">
        <v>181</v>
      </c>
      <c r="B182">
        <v>27</v>
      </c>
      <c r="C182">
        <v>115</v>
      </c>
      <c r="D182">
        <v>7.4099999999999999E-2</v>
      </c>
      <c r="E182">
        <v>2.964E-2</v>
      </c>
      <c r="F182" t="b">
        <v>0</v>
      </c>
    </row>
    <row r="183" spans="1:6" x14ac:dyDescent="0.15">
      <c r="A183">
        <v>182</v>
      </c>
      <c r="B183">
        <v>114</v>
      </c>
      <c r="C183">
        <v>115</v>
      </c>
      <c r="D183">
        <v>1.04E-2</v>
      </c>
      <c r="E183">
        <v>4.1599999999999996E-3</v>
      </c>
      <c r="F183" t="b">
        <v>0</v>
      </c>
    </row>
    <row r="184" spans="1:6" x14ac:dyDescent="0.15">
      <c r="A184">
        <v>183</v>
      </c>
      <c r="B184">
        <v>68</v>
      </c>
      <c r="C184">
        <v>116</v>
      </c>
      <c r="D184">
        <v>4.0499999999999998E-3</v>
      </c>
      <c r="E184">
        <v>1.6199999999999999E-3</v>
      </c>
      <c r="F184" t="b">
        <v>0</v>
      </c>
    </row>
    <row r="185" spans="1:6" x14ac:dyDescent="0.15">
      <c r="A185">
        <v>184</v>
      </c>
      <c r="B185">
        <v>12</v>
      </c>
      <c r="C185">
        <v>117</v>
      </c>
      <c r="D185">
        <v>0.14000000000000001</v>
      </c>
      <c r="E185">
        <v>5.6000000000000008E-2</v>
      </c>
      <c r="F185" t="b">
        <v>0</v>
      </c>
    </row>
    <row r="186" spans="1:6" x14ac:dyDescent="0.15">
      <c r="A186">
        <v>185</v>
      </c>
      <c r="B186">
        <v>75</v>
      </c>
      <c r="C186">
        <v>118</v>
      </c>
      <c r="D186">
        <v>4.8099999999999997E-2</v>
      </c>
      <c r="E186">
        <v>1.924E-2</v>
      </c>
      <c r="F186" t="b">
        <v>0</v>
      </c>
    </row>
    <row r="187" spans="1:6" x14ac:dyDescent="0.15">
      <c r="A187">
        <v>186</v>
      </c>
      <c r="B187">
        <v>76</v>
      </c>
      <c r="C187">
        <v>118</v>
      </c>
      <c r="D187">
        <v>5.4399999999999997E-2</v>
      </c>
      <c r="E187">
        <v>2.1760000000000002E-2</v>
      </c>
      <c r="F187" t="b">
        <v>0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6"/>
  <sheetViews>
    <sheetView tabSelected="1" workbookViewId="0">
      <pane ySplit="1" topLeftCell="A26" activePane="bottomLeft" state="frozen"/>
      <selection pane="bottomLeft" activeCell="O55" sqref="A2:O55"/>
    </sheetView>
  </sheetViews>
  <sheetFormatPr defaultRowHeight="13.5" x14ac:dyDescent="0.15"/>
  <cols>
    <col min="1" max="3" width="12" customWidth="1"/>
    <col min="4" max="5" width="13" customWidth="1"/>
    <col min="6" max="7" width="12" customWidth="1"/>
    <col min="8" max="8" width="13" customWidth="1"/>
    <col min="9" max="9" width="12" customWidth="1"/>
    <col min="10" max="10" width="22" customWidth="1"/>
    <col min="11" max="11" width="20" customWidth="1"/>
    <col min="12" max="12" width="21" customWidth="1"/>
    <col min="13" max="13" width="12" customWidth="1"/>
    <col min="14" max="14" width="21" customWidth="1"/>
    <col min="15" max="15" width="12" customWidth="1"/>
  </cols>
  <sheetData>
    <row r="1" spans="1:15" x14ac:dyDescent="0.15">
      <c r="A1" s="5" t="s">
        <v>46</v>
      </c>
      <c r="B1" s="5" t="s">
        <v>47</v>
      </c>
      <c r="C1" s="5" t="s">
        <v>48</v>
      </c>
      <c r="D1" s="5" t="s">
        <v>49</v>
      </c>
      <c r="E1" s="5" t="s">
        <v>50</v>
      </c>
      <c r="F1" s="5" t="s">
        <v>51</v>
      </c>
      <c r="G1" s="5" t="s">
        <v>52</v>
      </c>
      <c r="H1" s="5" t="s">
        <v>53</v>
      </c>
      <c r="I1" s="5" t="s">
        <v>54</v>
      </c>
      <c r="J1" s="5" t="s">
        <v>55</v>
      </c>
      <c r="K1" s="5" t="s">
        <v>56</v>
      </c>
      <c r="L1" s="5" t="s">
        <v>57</v>
      </c>
      <c r="M1" s="5" t="s">
        <v>58</v>
      </c>
      <c r="N1" s="5" t="s">
        <v>59</v>
      </c>
      <c r="O1" s="5" t="s">
        <v>60</v>
      </c>
    </row>
    <row r="2" spans="1:15" x14ac:dyDescent="0.15">
      <c r="A2">
        <v>0</v>
      </c>
      <c r="B2">
        <v>1</v>
      </c>
      <c r="C2" t="s">
        <v>61</v>
      </c>
      <c r="D2">
        <v>667</v>
      </c>
      <c r="E2">
        <v>6.67</v>
      </c>
      <c r="F2">
        <v>8</v>
      </c>
      <c r="G2">
        <v>3.9E-2</v>
      </c>
      <c r="H2">
        <v>3.3000000000000002E-2</v>
      </c>
      <c r="I2">
        <v>0.5</v>
      </c>
      <c r="J2">
        <v>3.9E-2</v>
      </c>
      <c r="K2">
        <v>112.056</v>
      </c>
      <c r="L2">
        <v>0.13339999999999999</v>
      </c>
      <c r="M2">
        <v>120.06</v>
      </c>
      <c r="N2">
        <v>0.75</v>
      </c>
      <c r="O2">
        <v>0.2</v>
      </c>
    </row>
    <row r="3" spans="1:15" x14ac:dyDescent="0.15">
      <c r="A3">
        <v>1</v>
      </c>
      <c r="B3">
        <v>4</v>
      </c>
      <c r="C3" t="s">
        <v>61</v>
      </c>
      <c r="D3">
        <v>667</v>
      </c>
      <c r="E3">
        <v>6.67</v>
      </c>
      <c r="F3">
        <v>8</v>
      </c>
      <c r="G3">
        <v>3.9E-2</v>
      </c>
      <c r="H3">
        <v>3.3000000000000002E-2</v>
      </c>
      <c r="I3">
        <v>0.5</v>
      </c>
      <c r="J3">
        <v>3.9E-2</v>
      </c>
      <c r="K3">
        <v>112.056</v>
      </c>
      <c r="L3">
        <v>0.13339999999999999</v>
      </c>
      <c r="M3">
        <v>120.06</v>
      </c>
      <c r="N3">
        <v>0.75</v>
      </c>
      <c r="O3">
        <v>0.2</v>
      </c>
    </row>
    <row r="4" spans="1:15" x14ac:dyDescent="0.15">
      <c r="A4">
        <v>2</v>
      </c>
      <c r="B4">
        <v>6</v>
      </c>
      <c r="C4" t="s">
        <v>62</v>
      </c>
      <c r="D4">
        <v>667</v>
      </c>
      <c r="E4">
        <v>6.67</v>
      </c>
      <c r="F4">
        <v>6</v>
      </c>
      <c r="G4">
        <v>4.1000000000000002E-2</v>
      </c>
      <c r="H4">
        <v>3.3000000000000002E-2</v>
      </c>
      <c r="I4">
        <v>0.5</v>
      </c>
      <c r="J4">
        <v>4.1000000000000002E-2</v>
      </c>
      <c r="K4">
        <v>84.042000000000002</v>
      </c>
      <c r="L4">
        <v>0.13339999999999999</v>
      </c>
      <c r="M4">
        <v>120.06</v>
      </c>
      <c r="N4">
        <v>0.75</v>
      </c>
      <c r="O4">
        <v>0.2</v>
      </c>
    </row>
    <row r="5" spans="1:15" x14ac:dyDescent="0.15">
      <c r="A5">
        <v>3</v>
      </c>
      <c r="B5">
        <v>8</v>
      </c>
      <c r="C5" t="s">
        <v>61</v>
      </c>
      <c r="D5">
        <v>667</v>
      </c>
      <c r="E5">
        <v>6.67</v>
      </c>
      <c r="F5">
        <v>8</v>
      </c>
      <c r="G5">
        <v>3.9E-2</v>
      </c>
      <c r="H5">
        <v>3.3000000000000002E-2</v>
      </c>
      <c r="I5">
        <v>0.5</v>
      </c>
      <c r="J5">
        <v>4.8750000000000002E-2</v>
      </c>
      <c r="K5">
        <v>179.28960000000001</v>
      </c>
      <c r="L5">
        <v>0.12006</v>
      </c>
      <c r="M5">
        <v>50.425199999999997</v>
      </c>
      <c r="N5">
        <v>1.5</v>
      </c>
      <c r="O5">
        <v>0.2</v>
      </c>
    </row>
    <row r="6" spans="1:15" x14ac:dyDescent="0.15">
      <c r="A6">
        <v>4</v>
      </c>
      <c r="B6">
        <v>10</v>
      </c>
      <c r="C6" t="s">
        <v>62</v>
      </c>
      <c r="D6">
        <v>667</v>
      </c>
      <c r="E6">
        <v>6.67</v>
      </c>
      <c r="F6">
        <v>6</v>
      </c>
      <c r="G6">
        <v>4.1000000000000002E-2</v>
      </c>
      <c r="H6">
        <v>3.3000000000000002E-2</v>
      </c>
      <c r="I6">
        <v>0.5</v>
      </c>
      <c r="J6">
        <v>5.1249999999999997E-2</v>
      </c>
      <c r="K6">
        <v>134.46719999999999</v>
      </c>
      <c r="L6">
        <v>0.12006</v>
      </c>
      <c r="M6">
        <v>50.425199999999997</v>
      </c>
      <c r="N6">
        <v>1.5</v>
      </c>
      <c r="O6">
        <v>0.2</v>
      </c>
    </row>
    <row r="7" spans="1:15" x14ac:dyDescent="0.15">
      <c r="A7">
        <v>5</v>
      </c>
      <c r="B7">
        <v>12</v>
      </c>
      <c r="C7" t="s">
        <v>62</v>
      </c>
      <c r="D7">
        <v>667</v>
      </c>
      <c r="E7">
        <v>6.67</v>
      </c>
      <c r="F7">
        <v>6</v>
      </c>
      <c r="G7">
        <v>4.1000000000000002E-2</v>
      </c>
      <c r="H7">
        <v>3.3000000000000002E-2</v>
      </c>
      <c r="I7">
        <v>0.5</v>
      </c>
      <c r="J7">
        <v>5.1249999999999997E-2</v>
      </c>
      <c r="K7">
        <v>134.46719999999999</v>
      </c>
      <c r="L7">
        <v>0.12006</v>
      </c>
      <c r="M7">
        <v>50.425199999999997</v>
      </c>
      <c r="N7">
        <v>1.5</v>
      </c>
      <c r="O7">
        <v>0.2</v>
      </c>
    </row>
    <row r="8" spans="1:15" x14ac:dyDescent="0.15">
      <c r="A8">
        <v>6</v>
      </c>
      <c r="B8">
        <v>15</v>
      </c>
      <c r="C8" t="s">
        <v>62</v>
      </c>
      <c r="D8">
        <v>667</v>
      </c>
      <c r="E8">
        <v>6.67</v>
      </c>
      <c r="F8">
        <v>6</v>
      </c>
      <c r="G8">
        <v>4.1000000000000002E-2</v>
      </c>
      <c r="H8">
        <v>3.3000000000000002E-2</v>
      </c>
      <c r="I8">
        <v>0.5</v>
      </c>
      <c r="J8">
        <v>4.1000000000000002E-2</v>
      </c>
      <c r="K8">
        <v>84.042000000000002</v>
      </c>
      <c r="L8">
        <v>0.13339999999999999</v>
      </c>
      <c r="M8">
        <v>120.06</v>
      </c>
      <c r="N8">
        <v>0.75</v>
      </c>
      <c r="O8">
        <v>0.2</v>
      </c>
    </row>
    <row r="9" spans="1:15" x14ac:dyDescent="0.15">
      <c r="A9">
        <v>7</v>
      </c>
      <c r="B9">
        <v>18</v>
      </c>
      <c r="C9" t="s">
        <v>62</v>
      </c>
      <c r="D9">
        <v>667</v>
      </c>
      <c r="E9">
        <v>6.67</v>
      </c>
      <c r="F9">
        <v>6</v>
      </c>
      <c r="G9">
        <v>4.1000000000000002E-2</v>
      </c>
      <c r="H9">
        <v>3.3000000000000002E-2</v>
      </c>
      <c r="I9">
        <v>0.5</v>
      </c>
      <c r="J9">
        <v>4.1000000000000002E-2</v>
      </c>
      <c r="K9">
        <v>84.042000000000002</v>
      </c>
      <c r="L9">
        <v>0.13339999999999999</v>
      </c>
      <c r="M9">
        <v>120.06</v>
      </c>
      <c r="N9">
        <v>0.75</v>
      </c>
      <c r="O9">
        <v>0.2</v>
      </c>
    </row>
    <row r="10" spans="1:15" x14ac:dyDescent="0.15">
      <c r="A10">
        <v>8</v>
      </c>
      <c r="B10">
        <v>19</v>
      </c>
      <c r="C10" t="s">
        <v>61</v>
      </c>
      <c r="D10">
        <v>667</v>
      </c>
      <c r="E10">
        <v>6.67</v>
      </c>
      <c r="F10">
        <v>8</v>
      </c>
      <c r="G10">
        <v>3.9E-2</v>
      </c>
      <c r="H10">
        <v>3.3000000000000002E-2</v>
      </c>
      <c r="I10">
        <v>0.5</v>
      </c>
      <c r="J10">
        <v>3.9E-2</v>
      </c>
      <c r="K10">
        <v>112.056</v>
      </c>
      <c r="L10">
        <v>0.13339999999999999</v>
      </c>
      <c r="M10">
        <v>120.06</v>
      </c>
      <c r="N10">
        <v>0.75</v>
      </c>
      <c r="O10">
        <v>0.2</v>
      </c>
    </row>
    <row r="11" spans="1:15" x14ac:dyDescent="0.15">
      <c r="A11">
        <v>9</v>
      </c>
      <c r="B11">
        <v>24</v>
      </c>
      <c r="C11" t="s">
        <v>61</v>
      </c>
      <c r="D11">
        <v>667</v>
      </c>
      <c r="E11">
        <v>6.67</v>
      </c>
      <c r="F11">
        <v>8</v>
      </c>
      <c r="G11">
        <v>3.9E-2</v>
      </c>
      <c r="H11">
        <v>3.3000000000000002E-2</v>
      </c>
      <c r="I11">
        <v>0.5</v>
      </c>
      <c r="J11">
        <v>3.9E-2</v>
      </c>
      <c r="K11">
        <v>112.056</v>
      </c>
      <c r="L11">
        <v>0.13339999999999999</v>
      </c>
      <c r="M11">
        <v>120.06</v>
      </c>
      <c r="N11">
        <v>0.75</v>
      </c>
      <c r="O11">
        <v>0.2</v>
      </c>
    </row>
    <row r="12" spans="1:15" x14ac:dyDescent="0.15">
      <c r="A12">
        <v>10</v>
      </c>
      <c r="B12">
        <v>25</v>
      </c>
      <c r="C12" t="s">
        <v>62</v>
      </c>
      <c r="D12">
        <v>667</v>
      </c>
      <c r="E12">
        <v>6.67</v>
      </c>
      <c r="F12">
        <v>6</v>
      </c>
      <c r="G12">
        <v>4.1000000000000002E-2</v>
      </c>
      <c r="H12">
        <v>3.3000000000000002E-2</v>
      </c>
      <c r="I12">
        <v>0.5</v>
      </c>
      <c r="J12">
        <v>4.1000000000000002E-2</v>
      </c>
      <c r="K12">
        <v>84.042000000000002</v>
      </c>
      <c r="L12">
        <v>0.13339999999999999</v>
      </c>
      <c r="M12">
        <v>120.06</v>
      </c>
      <c r="N12">
        <v>0.75</v>
      </c>
      <c r="O12">
        <v>0.2</v>
      </c>
    </row>
    <row r="13" spans="1:15" x14ac:dyDescent="0.15">
      <c r="A13">
        <v>11</v>
      </c>
      <c r="B13">
        <v>26</v>
      </c>
      <c r="C13" t="s">
        <v>62</v>
      </c>
      <c r="D13">
        <v>667</v>
      </c>
      <c r="E13">
        <v>6.67</v>
      </c>
      <c r="F13">
        <v>6</v>
      </c>
      <c r="G13">
        <v>4.1000000000000002E-2</v>
      </c>
      <c r="H13">
        <v>3.3000000000000002E-2</v>
      </c>
      <c r="I13">
        <v>0.5</v>
      </c>
      <c r="J13">
        <v>4.1000000000000002E-2</v>
      </c>
      <c r="K13">
        <v>84.042000000000002</v>
      </c>
      <c r="L13">
        <v>0.13339999999999999</v>
      </c>
      <c r="M13">
        <v>120.06</v>
      </c>
      <c r="N13">
        <v>0.75</v>
      </c>
      <c r="O13">
        <v>0.2</v>
      </c>
    </row>
    <row r="14" spans="1:15" x14ac:dyDescent="0.15">
      <c r="A14">
        <v>12</v>
      </c>
      <c r="B14">
        <v>27</v>
      </c>
      <c r="C14" t="s">
        <v>62</v>
      </c>
      <c r="D14">
        <v>667</v>
      </c>
      <c r="E14">
        <v>6.67</v>
      </c>
      <c r="F14">
        <v>6</v>
      </c>
      <c r="G14">
        <v>4.1000000000000002E-2</v>
      </c>
      <c r="H14">
        <v>3.3000000000000002E-2</v>
      </c>
      <c r="I14">
        <v>0.5</v>
      </c>
      <c r="J14">
        <v>4.1000000000000002E-2</v>
      </c>
      <c r="K14">
        <v>84.042000000000002</v>
      </c>
      <c r="L14">
        <v>0.13339999999999999</v>
      </c>
      <c r="M14">
        <v>120.06</v>
      </c>
      <c r="N14">
        <v>0.75</v>
      </c>
      <c r="O14">
        <v>0.2</v>
      </c>
    </row>
    <row r="15" spans="1:15" x14ac:dyDescent="0.15">
      <c r="A15">
        <v>13</v>
      </c>
      <c r="B15">
        <v>31</v>
      </c>
      <c r="C15" t="s">
        <v>62</v>
      </c>
      <c r="D15">
        <v>667</v>
      </c>
      <c r="E15">
        <v>6.67</v>
      </c>
      <c r="F15">
        <v>6</v>
      </c>
      <c r="G15">
        <v>4.1000000000000002E-2</v>
      </c>
      <c r="H15">
        <v>3.3000000000000002E-2</v>
      </c>
      <c r="I15">
        <v>0.5</v>
      </c>
      <c r="J15">
        <v>4.1000000000000002E-2</v>
      </c>
      <c r="K15">
        <v>84.042000000000002</v>
      </c>
      <c r="L15">
        <v>0.13339999999999999</v>
      </c>
      <c r="M15">
        <v>138.06899999999999</v>
      </c>
      <c r="N15">
        <v>0.67500000000000004</v>
      </c>
      <c r="O15">
        <v>0.2</v>
      </c>
    </row>
    <row r="16" spans="1:15" x14ac:dyDescent="0.15">
      <c r="A16">
        <v>14</v>
      </c>
      <c r="B16">
        <v>32</v>
      </c>
      <c r="C16" t="s">
        <v>62</v>
      </c>
      <c r="D16">
        <v>667</v>
      </c>
      <c r="E16">
        <v>6.67</v>
      </c>
      <c r="F16">
        <v>6</v>
      </c>
      <c r="G16">
        <v>4.1000000000000002E-2</v>
      </c>
      <c r="H16">
        <v>3.3000000000000002E-2</v>
      </c>
      <c r="I16">
        <v>0.5</v>
      </c>
      <c r="J16">
        <v>4.1000000000000002E-2</v>
      </c>
      <c r="K16">
        <v>84.042000000000002</v>
      </c>
      <c r="L16">
        <v>0.13339999999999999</v>
      </c>
      <c r="M16">
        <v>138.06899999999999</v>
      </c>
      <c r="N16">
        <v>0.67500000000000004</v>
      </c>
      <c r="O16">
        <v>0.2</v>
      </c>
    </row>
    <row r="17" spans="1:15" x14ac:dyDescent="0.15">
      <c r="A17">
        <v>15</v>
      </c>
      <c r="B17">
        <v>34</v>
      </c>
      <c r="C17" t="s">
        <v>62</v>
      </c>
      <c r="D17">
        <v>667</v>
      </c>
      <c r="E17">
        <v>6.67</v>
      </c>
      <c r="F17">
        <v>6</v>
      </c>
      <c r="G17">
        <v>4.1000000000000002E-2</v>
      </c>
      <c r="H17">
        <v>3.3000000000000002E-2</v>
      </c>
      <c r="I17">
        <v>0.5</v>
      </c>
      <c r="J17">
        <v>4.1000000000000002E-2</v>
      </c>
      <c r="K17">
        <v>84.042000000000002</v>
      </c>
      <c r="L17">
        <v>0.13339999999999999</v>
      </c>
      <c r="M17">
        <v>138.06899999999999</v>
      </c>
      <c r="N17">
        <v>0.67500000000000004</v>
      </c>
      <c r="O17">
        <v>0.2</v>
      </c>
    </row>
    <row r="18" spans="1:15" x14ac:dyDescent="0.15">
      <c r="A18">
        <v>16</v>
      </c>
      <c r="B18">
        <v>36</v>
      </c>
      <c r="C18" t="s">
        <v>61</v>
      </c>
      <c r="D18">
        <v>667</v>
      </c>
      <c r="E18">
        <v>6.67</v>
      </c>
      <c r="F18">
        <v>8</v>
      </c>
      <c r="G18">
        <v>3.9E-2</v>
      </c>
      <c r="H18">
        <v>3.3000000000000002E-2</v>
      </c>
      <c r="I18">
        <v>0.5</v>
      </c>
      <c r="J18">
        <v>3.9E-2</v>
      </c>
      <c r="K18">
        <v>112.056</v>
      </c>
      <c r="L18">
        <v>0.13339999999999999</v>
      </c>
      <c r="M18">
        <v>138.06899999999999</v>
      </c>
      <c r="N18">
        <v>0.67500000000000004</v>
      </c>
      <c r="O18">
        <v>0.2</v>
      </c>
    </row>
    <row r="19" spans="1:15" x14ac:dyDescent="0.15">
      <c r="A19">
        <v>17</v>
      </c>
      <c r="B19">
        <v>40</v>
      </c>
      <c r="C19" t="s">
        <v>63</v>
      </c>
      <c r="D19">
        <v>1050</v>
      </c>
      <c r="E19">
        <v>10.5</v>
      </c>
      <c r="F19">
        <v>10</v>
      </c>
      <c r="G19">
        <v>2.4E-2</v>
      </c>
      <c r="H19">
        <v>3.3000000000000002E-2</v>
      </c>
      <c r="I19">
        <v>0.5</v>
      </c>
      <c r="J19">
        <v>2.4E-2</v>
      </c>
      <c r="K19">
        <v>220.5</v>
      </c>
      <c r="L19">
        <v>0.21</v>
      </c>
      <c r="M19">
        <v>217.35</v>
      </c>
      <c r="N19">
        <v>0.67500000000000004</v>
      </c>
      <c r="O19">
        <v>0.2</v>
      </c>
    </row>
    <row r="20" spans="1:15" x14ac:dyDescent="0.15">
      <c r="A20">
        <v>18</v>
      </c>
      <c r="B20">
        <v>42</v>
      </c>
      <c r="C20" t="s">
        <v>63</v>
      </c>
      <c r="D20">
        <v>1050</v>
      </c>
      <c r="E20">
        <v>10.5</v>
      </c>
      <c r="F20">
        <v>10</v>
      </c>
      <c r="G20">
        <v>2.4E-2</v>
      </c>
      <c r="H20">
        <v>3.3000000000000002E-2</v>
      </c>
      <c r="I20">
        <v>0.5</v>
      </c>
      <c r="J20">
        <v>2.4E-2</v>
      </c>
      <c r="K20">
        <v>220.5</v>
      </c>
      <c r="L20">
        <v>0.21</v>
      </c>
      <c r="M20">
        <v>217.35</v>
      </c>
      <c r="N20">
        <v>0.67500000000000004</v>
      </c>
      <c r="O20">
        <v>0.2</v>
      </c>
    </row>
    <row r="21" spans="1:15" x14ac:dyDescent="0.15">
      <c r="A21">
        <v>19</v>
      </c>
      <c r="B21">
        <v>46</v>
      </c>
      <c r="C21" t="s">
        <v>62</v>
      </c>
      <c r="D21">
        <v>667</v>
      </c>
      <c r="E21">
        <v>6.67</v>
      </c>
      <c r="F21">
        <v>6</v>
      </c>
      <c r="G21">
        <v>4.1000000000000002E-2</v>
      </c>
      <c r="H21">
        <v>3.3000000000000002E-2</v>
      </c>
      <c r="I21">
        <v>0.5</v>
      </c>
      <c r="J21">
        <v>3.8949999999999999E-2</v>
      </c>
      <c r="K21">
        <v>71.435699999999997</v>
      </c>
      <c r="L21">
        <v>0.13339999999999999</v>
      </c>
      <c r="M21">
        <v>168.084</v>
      </c>
      <c r="N21">
        <v>0.5625</v>
      </c>
      <c r="O21">
        <v>0.2</v>
      </c>
    </row>
    <row r="22" spans="1:15" x14ac:dyDescent="0.15">
      <c r="A22">
        <v>20</v>
      </c>
      <c r="B22">
        <v>49</v>
      </c>
      <c r="C22" t="s">
        <v>62</v>
      </c>
      <c r="D22">
        <v>667</v>
      </c>
      <c r="E22">
        <v>6.67</v>
      </c>
      <c r="F22">
        <v>6</v>
      </c>
      <c r="G22">
        <v>4.1000000000000002E-2</v>
      </c>
      <c r="H22">
        <v>3.3000000000000002E-2</v>
      </c>
      <c r="I22">
        <v>0.5</v>
      </c>
      <c r="J22">
        <v>2.9520000000000001E-2</v>
      </c>
      <c r="K22">
        <v>20.170079999999999</v>
      </c>
      <c r="L22">
        <v>0.14674000000000001</v>
      </c>
      <c r="M22">
        <v>360.18</v>
      </c>
      <c r="N22">
        <v>0.3</v>
      </c>
      <c r="O22">
        <v>0.2</v>
      </c>
    </row>
    <row r="23" spans="1:15" x14ac:dyDescent="0.15">
      <c r="A23">
        <v>21</v>
      </c>
      <c r="B23">
        <v>54</v>
      </c>
      <c r="C23" t="s">
        <v>62</v>
      </c>
      <c r="D23">
        <v>667</v>
      </c>
      <c r="E23">
        <v>6.67</v>
      </c>
      <c r="F23">
        <v>6</v>
      </c>
      <c r="G23">
        <v>4.1000000000000002E-2</v>
      </c>
      <c r="H23">
        <v>3.3000000000000002E-2</v>
      </c>
      <c r="I23">
        <v>0.5</v>
      </c>
      <c r="J23">
        <v>3.4849999999999999E-2</v>
      </c>
      <c r="K23">
        <v>235.3176</v>
      </c>
      <c r="L23">
        <v>0.16008</v>
      </c>
      <c r="M23">
        <v>228.114</v>
      </c>
      <c r="N23">
        <v>0.52499999999999991</v>
      </c>
      <c r="O23">
        <v>0.2</v>
      </c>
    </row>
    <row r="24" spans="1:15" x14ac:dyDescent="0.15">
      <c r="A24">
        <v>22</v>
      </c>
      <c r="B24">
        <v>55</v>
      </c>
      <c r="C24" t="s">
        <v>62</v>
      </c>
      <c r="D24">
        <v>667</v>
      </c>
      <c r="E24">
        <v>6.67</v>
      </c>
      <c r="F24">
        <v>6</v>
      </c>
      <c r="G24">
        <v>4.1000000000000002E-2</v>
      </c>
      <c r="H24">
        <v>3.3000000000000002E-2</v>
      </c>
      <c r="I24">
        <v>0.5</v>
      </c>
      <c r="J24">
        <v>3.4849999999999999E-2</v>
      </c>
      <c r="K24">
        <v>235.3176</v>
      </c>
      <c r="L24">
        <v>0.16008</v>
      </c>
      <c r="M24">
        <v>228.114</v>
      </c>
      <c r="N24">
        <v>0.52499999999999991</v>
      </c>
      <c r="O24">
        <v>0.2</v>
      </c>
    </row>
    <row r="25" spans="1:15" x14ac:dyDescent="0.15">
      <c r="A25">
        <v>23</v>
      </c>
      <c r="B25">
        <v>56</v>
      </c>
      <c r="C25" t="s">
        <v>62</v>
      </c>
      <c r="D25">
        <v>667</v>
      </c>
      <c r="E25">
        <v>6.67</v>
      </c>
      <c r="F25">
        <v>6</v>
      </c>
      <c r="G25">
        <v>4.1000000000000002E-2</v>
      </c>
      <c r="H25">
        <v>3.3000000000000002E-2</v>
      </c>
      <c r="I25">
        <v>0.5</v>
      </c>
      <c r="J25">
        <v>3.4849999999999999E-2</v>
      </c>
      <c r="K25">
        <v>235.3176</v>
      </c>
      <c r="L25">
        <v>0.16008</v>
      </c>
      <c r="M25">
        <v>228.114</v>
      </c>
      <c r="N25">
        <v>0.52499999999999991</v>
      </c>
      <c r="O25">
        <v>0.2</v>
      </c>
    </row>
    <row r="26" spans="1:15" x14ac:dyDescent="0.15">
      <c r="A26">
        <v>24</v>
      </c>
      <c r="B26">
        <v>59</v>
      </c>
      <c r="C26" t="s">
        <v>62</v>
      </c>
      <c r="D26">
        <v>667</v>
      </c>
      <c r="E26">
        <v>6.67</v>
      </c>
      <c r="F26">
        <v>6</v>
      </c>
      <c r="G26">
        <v>4.1000000000000002E-2</v>
      </c>
      <c r="H26">
        <v>3.3000000000000002E-2</v>
      </c>
      <c r="I26">
        <v>0.5</v>
      </c>
      <c r="J26">
        <v>4.1000000000000002E-2</v>
      </c>
      <c r="K26">
        <v>84.042000000000002</v>
      </c>
      <c r="L26">
        <v>0.13339999999999999</v>
      </c>
      <c r="M26">
        <v>120.06</v>
      </c>
      <c r="N26">
        <v>0.75</v>
      </c>
      <c r="O26">
        <v>0.2</v>
      </c>
    </row>
    <row r="27" spans="1:15" x14ac:dyDescent="0.15">
      <c r="A27">
        <v>25</v>
      </c>
      <c r="B27">
        <v>61</v>
      </c>
      <c r="C27" t="s">
        <v>62</v>
      </c>
      <c r="D27">
        <v>667</v>
      </c>
      <c r="E27">
        <v>6.67</v>
      </c>
      <c r="F27">
        <v>6</v>
      </c>
      <c r="G27">
        <v>4.1000000000000002E-2</v>
      </c>
      <c r="H27">
        <v>3.3000000000000002E-2</v>
      </c>
      <c r="I27">
        <v>0.5</v>
      </c>
      <c r="J27">
        <v>4.1000000000000002E-2</v>
      </c>
      <c r="K27">
        <v>84.042000000000002</v>
      </c>
      <c r="L27">
        <v>0.13339999999999999</v>
      </c>
      <c r="M27">
        <v>120.06</v>
      </c>
      <c r="N27">
        <v>0.75</v>
      </c>
      <c r="O27">
        <v>0.2</v>
      </c>
    </row>
    <row r="28" spans="1:15" x14ac:dyDescent="0.15">
      <c r="A28">
        <v>26</v>
      </c>
      <c r="B28">
        <v>62</v>
      </c>
      <c r="C28" t="s">
        <v>61</v>
      </c>
      <c r="D28">
        <v>667</v>
      </c>
      <c r="E28">
        <v>6.67</v>
      </c>
      <c r="F28">
        <v>8</v>
      </c>
      <c r="G28">
        <v>3.9E-2</v>
      </c>
      <c r="H28">
        <v>3.3000000000000002E-2</v>
      </c>
      <c r="I28">
        <v>0.5</v>
      </c>
      <c r="J28">
        <v>3.9E-2</v>
      </c>
      <c r="K28">
        <v>112.056</v>
      </c>
      <c r="L28">
        <v>0.13339999999999999</v>
      </c>
      <c r="M28">
        <v>120.06</v>
      </c>
      <c r="N28">
        <v>0.75</v>
      </c>
      <c r="O28">
        <v>0.2</v>
      </c>
    </row>
    <row r="29" spans="1:15" x14ac:dyDescent="0.15">
      <c r="A29">
        <v>27</v>
      </c>
      <c r="B29">
        <v>65</v>
      </c>
      <c r="C29" t="s">
        <v>62</v>
      </c>
      <c r="D29">
        <v>667</v>
      </c>
      <c r="E29">
        <v>6.67</v>
      </c>
      <c r="F29">
        <v>6</v>
      </c>
      <c r="G29">
        <v>4.1000000000000002E-2</v>
      </c>
      <c r="H29">
        <v>3.3000000000000002E-2</v>
      </c>
      <c r="I29">
        <v>0.5</v>
      </c>
      <c r="J29">
        <v>4.1000000000000002E-2</v>
      </c>
      <c r="K29">
        <v>84.042000000000002</v>
      </c>
      <c r="L29">
        <v>0.13339999999999999</v>
      </c>
      <c r="M29">
        <v>120.06</v>
      </c>
      <c r="N29">
        <v>0.75</v>
      </c>
      <c r="O29">
        <v>0.2</v>
      </c>
    </row>
    <row r="30" spans="1:15" x14ac:dyDescent="0.15">
      <c r="A30">
        <v>28</v>
      </c>
      <c r="B30">
        <v>66</v>
      </c>
      <c r="C30" t="s">
        <v>62</v>
      </c>
      <c r="D30">
        <v>667</v>
      </c>
      <c r="E30">
        <v>6.67</v>
      </c>
      <c r="F30">
        <v>6</v>
      </c>
      <c r="G30">
        <v>4.1000000000000002E-2</v>
      </c>
      <c r="H30">
        <v>3.3000000000000002E-2</v>
      </c>
      <c r="I30">
        <v>0.5</v>
      </c>
      <c r="J30">
        <v>4.1000000000000002E-2</v>
      </c>
      <c r="K30">
        <v>84.042000000000002</v>
      </c>
      <c r="L30">
        <v>0.13339999999999999</v>
      </c>
      <c r="M30">
        <v>120.06</v>
      </c>
      <c r="N30">
        <v>0.75</v>
      </c>
      <c r="O30">
        <v>0.2</v>
      </c>
    </row>
    <row r="31" spans="1:15" x14ac:dyDescent="0.15">
      <c r="A31">
        <v>29</v>
      </c>
      <c r="B31">
        <v>69</v>
      </c>
      <c r="C31" t="s">
        <v>62</v>
      </c>
      <c r="D31">
        <v>667</v>
      </c>
      <c r="E31">
        <v>6.67</v>
      </c>
      <c r="F31">
        <v>6</v>
      </c>
      <c r="G31">
        <v>4.1000000000000002E-2</v>
      </c>
      <c r="H31">
        <v>3.3000000000000002E-2</v>
      </c>
      <c r="I31">
        <v>0.5</v>
      </c>
      <c r="J31">
        <v>4.1000000000000002E-2</v>
      </c>
      <c r="K31">
        <v>84.042000000000002</v>
      </c>
      <c r="L31">
        <v>0.13339999999999999</v>
      </c>
      <c r="M31">
        <v>120.06</v>
      </c>
      <c r="N31">
        <v>0.75</v>
      </c>
      <c r="O31">
        <v>0.2</v>
      </c>
    </row>
    <row r="32" spans="1:15" x14ac:dyDescent="0.15">
      <c r="A32">
        <v>30</v>
      </c>
      <c r="B32">
        <v>70</v>
      </c>
      <c r="C32" t="s">
        <v>61</v>
      </c>
      <c r="D32">
        <v>667</v>
      </c>
      <c r="E32">
        <v>6.67</v>
      </c>
      <c r="F32">
        <v>8</v>
      </c>
      <c r="G32">
        <v>3.9E-2</v>
      </c>
      <c r="H32">
        <v>3.3000000000000002E-2</v>
      </c>
      <c r="I32">
        <v>0.5</v>
      </c>
      <c r="J32">
        <v>3.9E-2</v>
      </c>
      <c r="K32">
        <v>112.056</v>
      </c>
      <c r="L32">
        <v>0.13339999999999999</v>
      </c>
      <c r="M32">
        <v>120.06</v>
      </c>
      <c r="N32">
        <v>0.75</v>
      </c>
      <c r="O32">
        <v>0.2</v>
      </c>
    </row>
    <row r="33" spans="1:15" x14ac:dyDescent="0.15">
      <c r="A33">
        <v>31</v>
      </c>
      <c r="B33">
        <v>72</v>
      </c>
      <c r="C33" t="s">
        <v>61</v>
      </c>
      <c r="D33">
        <v>667</v>
      </c>
      <c r="E33">
        <v>6.67</v>
      </c>
      <c r="F33">
        <v>8</v>
      </c>
      <c r="G33">
        <v>3.9E-2</v>
      </c>
      <c r="H33">
        <v>3.3000000000000002E-2</v>
      </c>
      <c r="I33">
        <v>0.5</v>
      </c>
      <c r="J33">
        <v>3.9E-2</v>
      </c>
      <c r="K33">
        <v>112.056</v>
      </c>
      <c r="L33">
        <v>0.13339999999999999</v>
      </c>
      <c r="M33">
        <v>120.06</v>
      </c>
      <c r="N33">
        <v>0.75</v>
      </c>
      <c r="O33">
        <v>0.2</v>
      </c>
    </row>
    <row r="34" spans="1:15" x14ac:dyDescent="0.15">
      <c r="A34">
        <v>32</v>
      </c>
      <c r="B34">
        <v>73</v>
      </c>
      <c r="C34" t="s">
        <v>64</v>
      </c>
      <c r="D34">
        <v>300</v>
      </c>
      <c r="E34">
        <v>3</v>
      </c>
      <c r="F34">
        <v>9</v>
      </c>
      <c r="G34">
        <v>6.5000000000000002E-2</v>
      </c>
      <c r="H34">
        <v>3.3000000000000002E-2</v>
      </c>
      <c r="I34">
        <v>0</v>
      </c>
      <c r="J34">
        <v>6.5000000000000002E-2</v>
      </c>
      <c r="K34">
        <v>56.7</v>
      </c>
      <c r="L34">
        <v>0.06</v>
      </c>
      <c r="M34">
        <v>54</v>
      </c>
      <c r="N34">
        <v>0.75</v>
      </c>
      <c r="O34">
        <v>0.2</v>
      </c>
    </row>
    <row r="35" spans="1:15" x14ac:dyDescent="0.15">
      <c r="A35">
        <v>33</v>
      </c>
      <c r="B35">
        <v>74</v>
      </c>
      <c r="C35" t="s">
        <v>65</v>
      </c>
      <c r="D35">
        <v>1050</v>
      </c>
      <c r="E35">
        <v>10.5</v>
      </c>
      <c r="F35">
        <v>10.6</v>
      </c>
      <c r="G35">
        <v>2.1000000000000001E-2</v>
      </c>
      <c r="H35">
        <v>3.3000000000000002E-2</v>
      </c>
      <c r="I35">
        <v>0.5</v>
      </c>
      <c r="J35">
        <v>2.1000000000000001E-2</v>
      </c>
      <c r="K35">
        <v>233.73</v>
      </c>
      <c r="L35">
        <v>0.21</v>
      </c>
      <c r="M35">
        <v>189</v>
      </c>
      <c r="N35">
        <v>0.75</v>
      </c>
      <c r="O35">
        <v>0.2</v>
      </c>
    </row>
    <row r="36" spans="1:15" x14ac:dyDescent="0.15">
      <c r="A36">
        <v>34</v>
      </c>
      <c r="B36">
        <v>76</v>
      </c>
      <c r="C36" t="s">
        <v>63</v>
      </c>
      <c r="D36">
        <v>1050</v>
      </c>
      <c r="E36">
        <v>10.5</v>
      </c>
      <c r="F36">
        <v>10</v>
      </c>
      <c r="G36">
        <v>2.4E-2</v>
      </c>
      <c r="H36">
        <v>3.3000000000000002E-2</v>
      </c>
      <c r="I36">
        <v>0.5</v>
      </c>
      <c r="J36">
        <v>2.4E-2</v>
      </c>
      <c r="K36">
        <v>220.5</v>
      </c>
      <c r="L36">
        <v>0.21</v>
      </c>
      <c r="M36">
        <v>189</v>
      </c>
      <c r="N36">
        <v>0.75</v>
      </c>
      <c r="O36">
        <v>0.2</v>
      </c>
    </row>
    <row r="37" spans="1:15" x14ac:dyDescent="0.15">
      <c r="A37">
        <v>35</v>
      </c>
      <c r="B37">
        <v>77</v>
      </c>
      <c r="C37" t="s">
        <v>63</v>
      </c>
      <c r="D37">
        <v>1050</v>
      </c>
      <c r="E37">
        <v>10.5</v>
      </c>
      <c r="F37">
        <v>10</v>
      </c>
      <c r="G37">
        <v>2.4E-2</v>
      </c>
      <c r="H37">
        <v>3.3000000000000002E-2</v>
      </c>
      <c r="I37">
        <v>0.5</v>
      </c>
      <c r="J37">
        <v>2.4E-2</v>
      </c>
      <c r="K37">
        <v>220.5</v>
      </c>
      <c r="L37">
        <v>0.21</v>
      </c>
      <c r="M37">
        <v>189</v>
      </c>
      <c r="N37">
        <v>0.75</v>
      </c>
      <c r="O37">
        <v>0.2</v>
      </c>
    </row>
    <row r="38" spans="1:15" x14ac:dyDescent="0.15">
      <c r="A38">
        <v>36</v>
      </c>
      <c r="B38">
        <v>80</v>
      </c>
      <c r="C38" t="s">
        <v>62</v>
      </c>
      <c r="D38">
        <v>667</v>
      </c>
      <c r="E38">
        <v>6.67</v>
      </c>
      <c r="F38">
        <v>6</v>
      </c>
      <c r="G38">
        <v>4.1000000000000002E-2</v>
      </c>
      <c r="H38">
        <v>3.3000000000000002E-2</v>
      </c>
      <c r="I38">
        <v>0.5</v>
      </c>
      <c r="J38">
        <v>4.1000000000000002E-2</v>
      </c>
      <c r="K38">
        <v>84.042000000000002</v>
      </c>
      <c r="L38">
        <v>0.13339999999999999</v>
      </c>
      <c r="M38">
        <v>120.06</v>
      </c>
      <c r="N38">
        <v>0.75</v>
      </c>
      <c r="O38">
        <v>0.2</v>
      </c>
    </row>
    <row r="39" spans="1:15" x14ac:dyDescent="0.15">
      <c r="A39">
        <v>37</v>
      </c>
      <c r="B39">
        <v>85</v>
      </c>
      <c r="C39" t="s">
        <v>63</v>
      </c>
      <c r="D39">
        <v>1050</v>
      </c>
      <c r="E39">
        <v>10.5</v>
      </c>
      <c r="F39">
        <v>10</v>
      </c>
      <c r="G39">
        <v>2.4E-2</v>
      </c>
      <c r="H39">
        <v>3.3000000000000002E-2</v>
      </c>
      <c r="I39">
        <v>0.5</v>
      </c>
      <c r="J39">
        <v>2.4E-2</v>
      </c>
      <c r="K39">
        <v>220.5</v>
      </c>
      <c r="L39">
        <v>0.21</v>
      </c>
      <c r="M39">
        <v>189</v>
      </c>
      <c r="N39">
        <v>0.75</v>
      </c>
      <c r="O39">
        <v>0.2</v>
      </c>
    </row>
    <row r="40" spans="1:15" x14ac:dyDescent="0.15">
      <c r="A40">
        <v>38</v>
      </c>
      <c r="B40">
        <v>87</v>
      </c>
      <c r="C40" t="s">
        <v>62</v>
      </c>
      <c r="D40">
        <v>667</v>
      </c>
      <c r="E40">
        <v>6.67</v>
      </c>
      <c r="F40">
        <v>6</v>
      </c>
      <c r="G40">
        <v>4.1000000000000002E-2</v>
      </c>
      <c r="H40">
        <v>3.3000000000000002E-2</v>
      </c>
      <c r="I40">
        <v>0.5</v>
      </c>
      <c r="J40">
        <v>4.1000000000000002E-2</v>
      </c>
      <c r="K40">
        <v>84.042000000000002</v>
      </c>
      <c r="L40">
        <v>0.13339999999999999</v>
      </c>
      <c r="M40">
        <v>120.06</v>
      </c>
      <c r="N40">
        <v>0.75</v>
      </c>
      <c r="O40">
        <v>0.2</v>
      </c>
    </row>
    <row r="41" spans="1:15" x14ac:dyDescent="0.15">
      <c r="A41">
        <v>39</v>
      </c>
      <c r="B41">
        <v>89</v>
      </c>
      <c r="C41" t="s">
        <v>62</v>
      </c>
      <c r="D41">
        <v>667</v>
      </c>
      <c r="E41">
        <v>6.67</v>
      </c>
      <c r="F41">
        <v>6</v>
      </c>
      <c r="G41">
        <v>4.1000000000000002E-2</v>
      </c>
      <c r="H41">
        <v>3.3000000000000002E-2</v>
      </c>
      <c r="I41">
        <v>0.5</v>
      </c>
      <c r="J41">
        <v>4.1000000000000002E-2</v>
      </c>
      <c r="K41">
        <v>84.042000000000002</v>
      </c>
      <c r="L41">
        <v>0.13339999999999999</v>
      </c>
      <c r="M41">
        <v>120.06</v>
      </c>
      <c r="N41">
        <v>0.75</v>
      </c>
      <c r="O41">
        <v>0.2</v>
      </c>
    </row>
    <row r="42" spans="1:15" x14ac:dyDescent="0.15">
      <c r="A42">
        <v>40</v>
      </c>
      <c r="B42">
        <v>90</v>
      </c>
      <c r="C42" t="s">
        <v>65</v>
      </c>
      <c r="D42">
        <v>1050</v>
      </c>
      <c r="E42">
        <v>10.5</v>
      </c>
      <c r="F42">
        <v>10.6</v>
      </c>
      <c r="G42">
        <v>2.1000000000000001E-2</v>
      </c>
      <c r="H42">
        <v>3.3000000000000002E-2</v>
      </c>
      <c r="I42">
        <v>0.5</v>
      </c>
      <c r="J42">
        <v>2.1000000000000001E-2</v>
      </c>
      <c r="K42">
        <v>233.73</v>
      </c>
      <c r="L42">
        <v>0.21</v>
      </c>
      <c r="M42">
        <v>189</v>
      </c>
      <c r="N42">
        <v>0.75</v>
      </c>
      <c r="O42">
        <v>0.2</v>
      </c>
    </row>
    <row r="43" spans="1:15" x14ac:dyDescent="0.15">
      <c r="A43">
        <v>41</v>
      </c>
      <c r="B43">
        <v>91</v>
      </c>
      <c r="C43" t="s">
        <v>64</v>
      </c>
      <c r="D43">
        <v>300</v>
      </c>
      <c r="E43">
        <v>3</v>
      </c>
      <c r="F43">
        <v>9</v>
      </c>
      <c r="G43">
        <v>6.5000000000000002E-2</v>
      </c>
      <c r="H43">
        <v>3.3000000000000002E-2</v>
      </c>
      <c r="I43">
        <v>0</v>
      </c>
      <c r="J43">
        <v>6.5000000000000002E-2</v>
      </c>
      <c r="K43">
        <v>56.7</v>
      </c>
      <c r="L43">
        <v>0.06</v>
      </c>
      <c r="M43">
        <v>54</v>
      </c>
      <c r="N43">
        <v>0.75</v>
      </c>
      <c r="O43">
        <v>0.2</v>
      </c>
    </row>
    <row r="44" spans="1:15" x14ac:dyDescent="0.15">
      <c r="A44">
        <v>42</v>
      </c>
      <c r="B44">
        <v>92</v>
      </c>
      <c r="C44" t="s">
        <v>64</v>
      </c>
      <c r="D44">
        <v>300</v>
      </c>
      <c r="E44">
        <v>3</v>
      </c>
      <c r="F44">
        <v>9</v>
      </c>
      <c r="G44">
        <v>6.5000000000000002E-2</v>
      </c>
      <c r="H44">
        <v>3.3000000000000002E-2</v>
      </c>
      <c r="I44">
        <v>0</v>
      </c>
      <c r="J44">
        <v>6.5000000000000002E-2</v>
      </c>
      <c r="K44">
        <v>56.7</v>
      </c>
      <c r="L44">
        <v>0.06</v>
      </c>
      <c r="M44">
        <v>54</v>
      </c>
      <c r="N44">
        <v>0.75</v>
      </c>
      <c r="O44">
        <v>0.2</v>
      </c>
    </row>
    <row r="45" spans="1:15" x14ac:dyDescent="0.15">
      <c r="A45">
        <v>43</v>
      </c>
      <c r="B45">
        <v>99</v>
      </c>
      <c r="C45" t="s">
        <v>64</v>
      </c>
      <c r="D45">
        <v>300</v>
      </c>
      <c r="E45">
        <v>3</v>
      </c>
      <c r="F45">
        <v>9</v>
      </c>
      <c r="G45">
        <v>6.5000000000000002E-2</v>
      </c>
      <c r="H45">
        <v>3.3000000000000002E-2</v>
      </c>
      <c r="I45">
        <v>0</v>
      </c>
      <c r="J45">
        <v>6.5000000000000002E-2</v>
      </c>
      <c r="K45">
        <v>56.7</v>
      </c>
      <c r="L45">
        <v>0.06</v>
      </c>
      <c r="M45">
        <v>54</v>
      </c>
      <c r="N45">
        <v>0.75</v>
      </c>
      <c r="O45">
        <v>0.2</v>
      </c>
    </row>
    <row r="46" spans="1:15" x14ac:dyDescent="0.15">
      <c r="A46">
        <v>44</v>
      </c>
      <c r="B46">
        <v>100</v>
      </c>
      <c r="C46" t="s">
        <v>62</v>
      </c>
      <c r="D46">
        <v>667</v>
      </c>
      <c r="E46">
        <v>6.67</v>
      </c>
      <c r="F46">
        <v>6</v>
      </c>
      <c r="G46">
        <v>4.1000000000000002E-2</v>
      </c>
      <c r="H46">
        <v>3.3000000000000002E-2</v>
      </c>
      <c r="I46">
        <v>0.5</v>
      </c>
      <c r="J46">
        <v>4.1000000000000002E-2</v>
      </c>
      <c r="K46">
        <v>84.042000000000002</v>
      </c>
      <c r="L46">
        <v>0.13339999999999999</v>
      </c>
      <c r="M46">
        <v>120.06</v>
      </c>
      <c r="N46">
        <v>0.75</v>
      </c>
      <c r="O46">
        <v>0.2</v>
      </c>
    </row>
    <row r="47" spans="1:15" x14ac:dyDescent="0.15">
      <c r="A47">
        <v>45</v>
      </c>
      <c r="B47">
        <v>103</v>
      </c>
      <c r="C47" t="s">
        <v>62</v>
      </c>
      <c r="D47">
        <v>667</v>
      </c>
      <c r="E47">
        <v>6.67</v>
      </c>
      <c r="F47">
        <v>6</v>
      </c>
      <c r="G47">
        <v>4.1000000000000002E-2</v>
      </c>
      <c r="H47">
        <v>3.3000000000000002E-2</v>
      </c>
      <c r="I47">
        <v>0.5</v>
      </c>
      <c r="J47">
        <v>4.1000000000000002E-2</v>
      </c>
      <c r="K47">
        <v>84.042000000000002</v>
      </c>
      <c r="L47">
        <v>0.13339999999999999</v>
      </c>
      <c r="M47">
        <v>120.06</v>
      </c>
      <c r="N47">
        <v>0.75</v>
      </c>
      <c r="O47">
        <v>0.2</v>
      </c>
    </row>
    <row r="48" spans="1:15" x14ac:dyDescent="0.15">
      <c r="A48">
        <v>46</v>
      </c>
      <c r="B48">
        <v>104</v>
      </c>
      <c r="C48" t="s">
        <v>64</v>
      </c>
      <c r="D48">
        <v>300</v>
      </c>
      <c r="E48">
        <v>3</v>
      </c>
      <c r="F48">
        <v>9</v>
      </c>
      <c r="G48">
        <v>6.5000000000000002E-2</v>
      </c>
      <c r="H48">
        <v>3.3000000000000002E-2</v>
      </c>
      <c r="I48">
        <v>0</v>
      </c>
      <c r="J48">
        <v>6.5000000000000002E-2</v>
      </c>
      <c r="K48">
        <v>56.7</v>
      </c>
      <c r="L48">
        <v>0.06</v>
      </c>
      <c r="M48">
        <v>54</v>
      </c>
      <c r="N48">
        <v>0.75</v>
      </c>
      <c r="O48">
        <v>0.2</v>
      </c>
    </row>
    <row r="49" spans="1:15" x14ac:dyDescent="0.15">
      <c r="A49">
        <v>47</v>
      </c>
      <c r="B49">
        <v>105</v>
      </c>
      <c r="C49" t="s">
        <v>64</v>
      </c>
      <c r="D49">
        <v>300</v>
      </c>
      <c r="E49">
        <v>3</v>
      </c>
      <c r="F49">
        <v>9</v>
      </c>
      <c r="G49">
        <v>6.5000000000000002E-2</v>
      </c>
      <c r="H49">
        <v>3.3000000000000002E-2</v>
      </c>
      <c r="I49">
        <v>0</v>
      </c>
      <c r="J49">
        <v>6.5000000000000002E-2</v>
      </c>
      <c r="K49">
        <v>56.7</v>
      </c>
      <c r="L49">
        <v>0.06</v>
      </c>
      <c r="M49">
        <v>54</v>
      </c>
      <c r="N49">
        <v>0.75</v>
      </c>
      <c r="O49">
        <v>0.2</v>
      </c>
    </row>
    <row r="50" spans="1:15" x14ac:dyDescent="0.15">
      <c r="A50">
        <v>48</v>
      </c>
      <c r="B50">
        <v>107</v>
      </c>
      <c r="C50" t="s">
        <v>64</v>
      </c>
      <c r="D50">
        <v>300</v>
      </c>
      <c r="E50">
        <v>3</v>
      </c>
      <c r="F50">
        <v>9</v>
      </c>
      <c r="G50">
        <v>6.5000000000000002E-2</v>
      </c>
      <c r="H50">
        <v>3.3000000000000002E-2</v>
      </c>
      <c r="I50">
        <v>0</v>
      </c>
      <c r="J50">
        <v>6.5000000000000002E-2</v>
      </c>
      <c r="K50">
        <v>56.7</v>
      </c>
      <c r="L50">
        <v>0.06</v>
      </c>
      <c r="M50">
        <v>54</v>
      </c>
      <c r="N50">
        <v>0.75</v>
      </c>
      <c r="O50">
        <v>0.2</v>
      </c>
    </row>
    <row r="51" spans="1:15" x14ac:dyDescent="0.15">
      <c r="A51">
        <v>49</v>
      </c>
      <c r="B51">
        <v>110</v>
      </c>
      <c r="C51" t="s">
        <v>64</v>
      </c>
      <c r="D51">
        <v>300</v>
      </c>
      <c r="E51">
        <v>3</v>
      </c>
      <c r="F51">
        <v>9</v>
      </c>
      <c r="G51">
        <v>6.5000000000000002E-2</v>
      </c>
      <c r="H51">
        <v>3.3000000000000002E-2</v>
      </c>
      <c r="I51">
        <v>0</v>
      </c>
      <c r="J51">
        <v>6.5000000000000002E-2</v>
      </c>
      <c r="K51">
        <v>56.7</v>
      </c>
      <c r="L51">
        <v>0.06</v>
      </c>
      <c r="M51">
        <v>54</v>
      </c>
      <c r="N51">
        <v>0.75</v>
      </c>
      <c r="O51">
        <v>0.2</v>
      </c>
    </row>
    <row r="52" spans="1:15" x14ac:dyDescent="0.15">
      <c r="A52">
        <v>50</v>
      </c>
      <c r="B52">
        <v>111</v>
      </c>
      <c r="C52" t="s">
        <v>62</v>
      </c>
      <c r="D52">
        <v>667</v>
      </c>
      <c r="E52">
        <v>6.67</v>
      </c>
      <c r="F52">
        <v>6</v>
      </c>
      <c r="G52">
        <v>4.1000000000000002E-2</v>
      </c>
      <c r="H52">
        <v>3.3000000000000002E-2</v>
      </c>
      <c r="I52">
        <v>0.5</v>
      </c>
      <c r="J52">
        <v>4.1000000000000002E-2</v>
      </c>
      <c r="K52">
        <v>84.042000000000002</v>
      </c>
      <c r="L52">
        <v>0.13339999999999999</v>
      </c>
      <c r="M52">
        <v>120.06</v>
      </c>
      <c r="N52">
        <v>0.75</v>
      </c>
      <c r="O52">
        <v>0.2</v>
      </c>
    </row>
    <row r="53" spans="1:15" x14ac:dyDescent="0.15">
      <c r="A53">
        <v>51</v>
      </c>
      <c r="B53">
        <v>112</v>
      </c>
      <c r="C53" t="s">
        <v>64</v>
      </c>
      <c r="D53">
        <v>300</v>
      </c>
      <c r="E53">
        <v>3</v>
      </c>
      <c r="F53">
        <v>9</v>
      </c>
      <c r="G53">
        <v>6.5000000000000002E-2</v>
      </c>
      <c r="H53">
        <v>3.3000000000000002E-2</v>
      </c>
      <c r="I53">
        <v>0</v>
      </c>
      <c r="J53">
        <v>6.5000000000000002E-2</v>
      </c>
      <c r="K53">
        <v>56.7</v>
      </c>
      <c r="L53">
        <v>0.06</v>
      </c>
      <c r="M53">
        <v>54</v>
      </c>
      <c r="N53">
        <v>0.75</v>
      </c>
      <c r="O53">
        <v>0.2</v>
      </c>
    </row>
    <row r="54" spans="1:15" x14ac:dyDescent="0.15">
      <c r="A54">
        <v>52</v>
      </c>
      <c r="B54">
        <v>113</v>
      </c>
      <c r="C54" t="s">
        <v>64</v>
      </c>
      <c r="D54">
        <v>300</v>
      </c>
      <c r="E54">
        <v>3</v>
      </c>
      <c r="F54">
        <v>9</v>
      </c>
      <c r="G54">
        <v>6.5000000000000002E-2</v>
      </c>
      <c r="H54">
        <v>3.3000000000000002E-2</v>
      </c>
      <c r="I54">
        <v>0</v>
      </c>
      <c r="J54">
        <v>6.5000000000000002E-2</v>
      </c>
      <c r="K54">
        <v>56.7</v>
      </c>
      <c r="L54">
        <v>0.06</v>
      </c>
      <c r="M54">
        <v>54</v>
      </c>
      <c r="N54">
        <v>0.75</v>
      </c>
      <c r="O54">
        <v>0.2</v>
      </c>
    </row>
    <row r="55" spans="1:15" x14ac:dyDescent="0.15">
      <c r="A55">
        <v>53</v>
      </c>
      <c r="B55">
        <v>116</v>
      </c>
      <c r="C55" t="s">
        <v>64</v>
      </c>
      <c r="D55">
        <v>300</v>
      </c>
      <c r="E55">
        <v>3</v>
      </c>
      <c r="F55">
        <v>9</v>
      </c>
      <c r="G55">
        <v>6.5000000000000002E-2</v>
      </c>
      <c r="H55">
        <v>3.3000000000000002E-2</v>
      </c>
      <c r="I55">
        <v>0</v>
      </c>
      <c r="J55">
        <v>6.5000000000000002E-2</v>
      </c>
      <c r="K55">
        <v>56.7</v>
      </c>
      <c r="L55">
        <v>0.06</v>
      </c>
      <c r="M55">
        <v>54</v>
      </c>
      <c r="N55">
        <v>0.75</v>
      </c>
      <c r="O55">
        <v>0.2</v>
      </c>
    </row>
    <row r="56" spans="1:15" x14ac:dyDescent="0.15">
      <c r="F56">
        <f>SUM(F2:F55)</f>
        <v>404.20000000000005</v>
      </c>
      <c r="K56">
        <f>SUM(K2:K55)</f>
        <v>6016.7305799999986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Load_Metrics</vt:lpstr>
      <vt:lpstr>Buses_118</vt:lpstr>
      <vt:lpstr>Branches_Modified</vt:lpstr>
      <vt:lpstr>Generators_54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zhongliang huang</cp:lastModifiedBy>
  <dcterms:created xsi:type="dcterms:W3CDTF">2026-04-03T09:15:50Z</dcterms:created>
  <dcterms:modified xsi:type="dcterms:W3CDTF">2026-04-03T10:21:12Z</dcterms:modified>
</cp:coreProperties>
</file>